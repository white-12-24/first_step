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_temp\2차프로젝트\챗봇_프로토타입\FINAL\"/>
    </mc:Choice>
  </mc:AlternateContent>
  <xr:revisionPtr revIDLastSave="0" documentId="13_ncr:1_{DFB5D3C9-13E8-40D5-847D-A7CC49BA8941}" xr6:coauthVersionLast="47" xr6:coauthVersionMax="47" xr10:uidLastSave="{00000000-0000-0000-0000-000000000000}"/>
  <bookViews>
    <workbookView xWindow="-120" yWindow="-120" windowWidth="24240" windowHeight="15000" xr2:uid="{00000000-000D-0000-FFFF-FFFF00000000}"/>
  </bookViews>
  <sheets>
    <sheet name="target_spot2026-01-19" sheetId="1" r:id="rId1"/>
  </sheets>
  <definedNames>
    <definedName name="_xlnm._FilterDatabase" localSheetId="0" hidden="1">'target_spot2026-01-19'!$A$1:$AB$203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3" i="1" l="1"/>
  <c r="K203" i="1"/>
  <c r="J203" i="1"/>
  <c r="E203" i="1"/>
  <c r="L202" i="1"/>
  <c r="K202" i="1"/>
  <c r="J202" i="1"/>
  <c r="E202" i="1"/>
  <c r="L201" i="1"/>
  <c r="K201" i="1"/>
  <c r="J201" i="1"/>
  <c r="E201" i="1"/>
  <c r="L200" i="1"/>
  <c r="K200" i="1"/>
  <c r="J200" i="1"/>
  <c r="E200" i="1"/>
  <c r="L199" i="1"/>
  <c r="K199" i="1"/>
  <c r="J199" i="1"/>
  <c r="E199" i="1"/>
  <c r="L198" i="1"/>
  <c r="K198" i="1"/>
  <c r="J198" i="1"/>
  <c r="E198" i="1"/>
  <c r="L197" i="1"/>
  <c r="K197" i="1"/>
  <c r="J197" i="1"/>
  <c r="E197" i="1"/>
  <c r="L196" i="1"/>
  <c r="K196" i="1"/>
  <c r="J196" i="1"/>
  <c r="E196" i="1"/>
  <c r="L195" i="1"/>
  <c r="K195" i="1"/>
  <c r="J195" i="1"/>
  <c r="E195" i="1"/>
  <c r="L194" i="1"/>
  <c r="K194" i="1"/>
  <c r="J194" i="1"/>
  <c r="E194" i="1"/>
  <c r="L193" i="1"/>
  <c r="K193" i="1"/>
  <c r="J193" i="1"/>
  <c r="E193" i="1"/>
  <c r="L192" i="1"/>
  <c r="K192" i="1"/>
  <c r="J192" i="1"/>
  <c r="E192" i="1"/>
  <c r="L191" i="1"/>
  <c r="K191" i="1"/>
  <c r="J191" i="1"/>
  <c r="E191" i="1"/>
  <c r="L190" i="1"/>
  <c r="K190" i="1"/>
  <c r="J190" i="1"/>
  <c r="E190" i="1"/>
  <c r="L189" i="1"/>
  <c r="K189" i="1"/>
  <c r="J189" i="1"/>
  <c r="E189" i="1"/>
  <c r="L188" i="1"/>
  <c r="K188" i="1"/>
  <c r="J188" i="1"/>
  <c r="E188" i="1"/>
  <c r="L187" i="1"/>
  <c r="K187" i="1"/>
  <c r="J187" i="1"/>
  <c r="E187" i="1"/>
  <c r="L186" i="1"/>
  <c r="K186" i="1"/>
  <c r="J186" i="1"/>
  <c r="E186" i="1"/>
  <c r="L185" i="1"/>
  <c r="K185" i="1"/>
  <c r="J185" i="1"/>
  <c r="E185" i="1"/>
  <c r="L184" i="1"/>
  <c r="K184" i="1"/>
  <c r="J184" i="1"/>
  <c r="E184" i="1"/>
  <c r="L183" i="1"/>
  <c r="K183" i="1"/>
  <c r="J183" i="1"/>
  <c r="E183" i="1"/>
  <c r="L182" i="1"/>
  <c r="K182" i="1"/>
  <c r="J182" i="1"/>
  <c r="E182" i="1"/>
  <c r="L181" i="1"/>
  <c r="K181" i="1"/>
  <c r="J181" i="1"/>
  <c r="E181" i="1"/>
  <c r="L180" i="1"/>
  <c r="K180" i="1"/>
  <c r="J180" i="1"/>
  <c r="E180" i="1"/>
  <c r="L179" i="1"/>
  <c r="K179" i="1"/>
  <c r="J179" i="1"/>
  <c r="E179" i="1"/>
  <c r="L178" i="1"/>
  <c r="K178" i="1"/>
  <c r="J178" i="1"/>
  <c r="E178" i="1"/>
  <c r="L177" i="1"/>
  <c r="K177" i="1"/>
  <c r="J177" i="1"/>
  <c r="E177" i="1"/>
  <c r="L176" i="1"/>
  <c r="K176" i="1"/>
  <c r="J176" i="1"/>
  <c r="E176" i="1"/>
  <c r="L175" i="1"/>
  <c r="K175" i="1"/>
  <c r="J175" i="1"/>
  <c r="E175" i="1"/>
  <c r="L174" i="1"/>
  <c r="K174" i="1"/>
  <c r="J174" i="1"/>
  <c r="E174" i="1"/>
  <c r="L173" i="1"/>
  <c r="K173" i="1"/>
  <c r="J173" i="1"/>
  <c r="E173" i="1"/>
  <c r="L172" i="1"/>
  <c r="K172" i="1"/>
  <c r="J172" i="1"/>
  <c r="E172" i="1"/>
  <c r="L171" i="1"/>
  <c r="K171" i="1"/>
  <c r="J171" i="1"/>
  <c r="E171" i="1"/>
  <c r="L170" i="1"/>
  <c r="K170" i="1"/>
  <c r="J170" i="1"/>
  <c r="E170" i="1"/>
  <c r="L169" i="1"/>
  <c r="K169" i="1"/>
  <c r="J169" i="1"/>
  <c r="E169" i="1"/>
  <c r="L168" i="1"/>
  <c r="K168" i="1"/>
  <c r="J168" i="1"/>
  <c r="E168" i="1"/>
  <c r="L167" i="1"/>
  <c r="K167" i="1"/>
  <c r="J167" i="1"/>
  <c r="E167" i="1"/>
  <c r="L166" i="1"/>
  <c r="K166" i="1"/>
  <c r="J166" i="1"/>
  <c r="E166" i="1"/>
  <c r="L165" i="1"/>
  <c r="K165" i="1"/>
  <c r="J165" i="1"/>
  <c r="E165" i="1"/>
  <c r="L164" i="1"/>
  <c r="K164" i="1"/>
  <c r="J164" i="1"/>
  <c r="E164" i="1"/>
  <c r="L163" i="1"/>
  <c r="K163" i="1"/>
  <c r="J163" i="1"/>
  <c r="E163" i="1"/>
  <c r="L162" i="1"/>
  <c r="K162" i="1"/>
  <c r="J162" i="1"/>
  <c r="E162" i="1"/>
  <c r="L161" i="1"/>
  <c r="K161" i="1"/>
  <c r="J161" i="1"/>
  <c r="E161" i="1"/>
  <c r="L160" i="1"/>
  <c r="K160" i="1"/>
  <c r="J160" i="1"/>
  <c r="E160" i="1"/>
  <c r="L159" i="1"/>
  <c r="K159" i="1"/>
  <c r="J159" i="1"/>
  <c r="E159" i="1"/>
  <c r="L158" i="1"/>
  <c r="K158" i="1"/>
  <c r="J158" i="1"/>
  <c r="E158" i="1"/>
  <c r="L157" i="1"/>
  <c r="K157" i="1"/>
  <c r="J157" i="1"/>
  <c r="E157" i="1"/>
  <c r="L156" i="1"/>
  <c r="K156" i="1"/>
  <c r="J156" i="1"/>
  <c r="E156" i="1"/>
  <c r="L155" i="1"/>
  <c r="K155" i="1"/>
  <c r="J155" i="1"/>
  <c r="E155" i="1"/>
  <c r="L154" i="1"/>
  <c r="K154" i="1"/>
  <c r="J154" i="1"/>
  <c r="E154" i="1"/>
  <c r="L153" i="1"/>
  <c r="K153" i="1"/>
  <c r="J153" i="1"/>
  <c r="E153" i="1"/>
  <c r="L152" i="1"/>
  <c r="K152" i="1"/>
  <c r="J152" i="1"/>
  <c r="E152" i="1"/>
  <c r="L151" i="1"/>
  <c r="K151" i="1"/>
  <c r="J151" i="1"/>
  <c r="E151" i="1"/>
  <c r="L150" i="1"/>
  <c r="K150" i="1"/>
  <c r="J150" i="1"/>
  <c r="E150" i="1"/>
  <c r="L149" i="1"/>
  <c r="K149" i="1"/>
  <c r="J149" i="1"/>
  <c r="E149" i="1"/>
  <c r="L148" i="1"/>
  <c r="K148" i="1"/>
  <c r="J148" i="1"/>
  <c r="E148" i="1"/>
  <c r="L147" i="1"/>
  <c r="K147" i="1"/>
  <c r="J147" i="1"/>
  <c r="E147" i="1"/>
  <c r="L146" i="1"/>
  <c r="K146" i="1"/>
  <c r="J146" i="1"/>
  <c r="E146" i="1"/>
  <c r="L145" i="1"/>
  <c r="K145" i="1"/>
  <c r="J145" i="1"/>
  <c r="E145" i="1"/>
  <c r="L144" i="1"/>
  <c r="K144" i="1"/>
  <c r="J144" i="1"/>
  <c r="E144" i="1"/>
  <c r="L143" i="1"/>
  <c r="K143" i="1"/>
  <c r="J143" i="1"/>
  <c r="E143" i="1"/>
  <c r="L142" i="1"/>
  <c r="K142" i="1"/>
  <c r="J142" i="1"/>
  <c r="E142" i="1"/>
  <c r="L141" i="1"/>
  <c r="K141" i="1"/>
  <c r="J141" i="1"/>
  <c r="E141" i="1"/>
  <c r="L140" i="1"/>
  <c r="K140" i="1"/>
  <c r="J140" i="1"/>
  <c r="E140" i="1"/>
  <c r="L139" i="1"/>
  <c r="K139" i="1"/>
  <c r="J139" i="1"/>
  <c r="E139" i="1"/>
  <c r="L138" i="1"/>
  <c r="K138" i="1"/>
  <c r="J138" i="1"/>
  <c r="E138" i="1"/>
  <c r="L137" i="1"/>
  <c r="K137" i="1"/>
  <c r="J137" i="1"/>
  <c r="E137" i="1"/>
  <c r="L136" i="1"/>
  <c r="K136" i="1"/>
  <c r="J136" i="1"/>
  <c r="E136" i="1"/>
  <c r="L135" i="1"/>
  <c r="K135" i="1"/>
  <c r="J135" i="1"/>
  <c r="E135" i="1"/>
  <c r="L134" i="1"/>
  <c r="K134" i="1"/>
  <c r="J134" i="1"/>
  <c r="E134" i="1"/>
  <c r="L133" i="1"/>
  <c r="K133" i="1"/>
  <c r="J133" i="1"/>
  <c r="E133" i="1"/>
  <c r="L132" i="1"/>
  <c r="K132" i="1"/>
  <c r="J132" i="1"/>
  <c r="E132" i="1"/>
  <c r="L131" i="1"/>
  <c r="K131" i="1"/>
  <c r="J131" i="1"/>
  <c r="E131" i="1"/>
  <c r="L130" i="1"/>
  <c r="K130" i="1"/>
  <c r="J130" i="1"/>
  <c r="E130" i="1"/>
  <c r="L129" i="1"/>
  <c r="K129" i="1"/>
  <c r="J129" i="1"/>
  <c r="E129" i="1"/>
  <c r="L128" i="1"/>
  <c r="K128" i="1"/>
  <c r="J128" i="1"/>
  <c r="E128" i="1"/>
  <c r="L127" i="1"/>
  <c r="K127" i="1"/>
  <c r="J127" i="1"/>
  <c r="E127" i="1"/>
  <c r="L126" i="1"/>
  <c r="K126" i="1"/>
  <c r="J126" i="1"/>
  <c r="E126" i="1"/>
  <c r="L125" i="1"/>
  <c r="K125" i="1"/>
  <c r="J125" i="1"/>
  <c r="E125" i="1"/>
  <c r="L124" i="1"/>
  <c r="K124" i="1"/>
  <c r="J124" i="1"/>
  <c r="E124" i="1"/>
  <c r="L123" i="1"/>
  <c r="K123" i="1"/>
  <c r="J123" i="1"/>
  <c r="E123" i="1"/>
  <c r="L122" i="1"/>
  <c r="K122" i="1"/>
  <c r="J122" i="1"/>
  <c r="E122" i="1"/>
  <c r="L121" i="1"/>
  <c r="K121" i="1"/>
  <c r="J121" i="1"/>
  <c r="E121" i="1"/>
  <c r="L120" i="1"/>
  <c r="K120" i="1"/>
  <c r="J120" i="1"/>
  <c r="E120" i="1"/>
  <c r="L119" i="1"/>
  <c r="K119" i="1"/>
  <c r="J119" i="1"/>
  <c r="E119" i="1"/>
  <c r="L118" i="1"/>
  <c r="K118" i="1"/>
  <c r="J118" i="1"/>
  <c r="E118" i="1"/>
  <c r="L117" i="1"/>
  <c r="K117" i="1"/>
  <c r="J117" i="1"/>
  <c r="E117" i="1"/>
  <c r="L116" i="1"/>
  <c r="K116" i="1"/>
  <c r="J116" i="1"/>
  <c r="E116" i="1"/>
  <c r="L115" i="1"/>
  <c r="K115" i="1"/>
  <c r="J115" i="1"/>
  <c r="E115" i="1"/>
  <c r="L114" i="1"/>
  <c r="K114" i="1"/>
  <c r="J114" i="1"/>
  <c r="E114" i="1"/>
  <c r="L113" i="1"/>
  <c r="K113" i="1"/>
  <c r="J113" i="1"/>
  <c r="E113" i="1"/>
  <c r="L112" i="1"/>
  <c r="K112" i="1"/>
  <c r="J112" i="1"/>
  <c r="E112" i="1"/>
  <c r="L111" i="1"/>
  <c r="K111" i="1"/>
  <c r="J111" i="1"/>
  <c r="E111" i="1"/>
  <c r="L110" i="1"/>
  <c r="K110" i="1"/>
  <c r="J110" i="1"/>
  <c r="E110" i="1"/>
  <c r="L109" i="1"/>
  <c r="K109" i="1"/>
  <c r="J109" i="1"/>
  <c r="E109" i="1"/>
  <c r="L108" i="1"/>
  <c r="K108" i="1"/>
  <c r="J108" i="1"/>
  <c r="E108" i="1"/>
  <c r="L107" i="1"/>
  <c r="K107" i="1"/>
  <c r="J107" i="1"/>
  <c r="E107" i="1"/>
  <c r="L106" i="1"/>
  <c r="K106" i="1"/>
  <c r="J106" i="1"/>
  <c r="E106" i="1"/>
  <c r="L105" i="1"/>
  <c r="K105" i="1"/>
  <c r="J105" i="1"/>
  <c r="E105" i="1"/>
  <c r="L104" i="1"/>
  <c r="K104" i="1"/>
  <c r="J104" i="1"/>
  <c r="E104" i="1"/>
  <c r="L103" i="1"/>
  <c r="K103" i="1"/>
  <c r="J103" i="1"/>
  <c r="E103" i="1"/>
  <c r="L102" i="1"/>
  <c r="K102" i="1"/>
  <c r="J102" i="1"/>
  <c r="E102" i="1"/>
  <c r="L101" i="1"/>
  <c r="K101" i="1"/>
  <c r="J101" i="1"/>
  <c r="E101" i="1"/>
  <c r="L100" i="1"/>
  <c r="K100" i="1"/>
  <c r="J100" i="1"/>
  <c r="E100" i="1"/>
  <c r="L99" i="1"/>
  <c r="K99" i="1"/>
  <c r="J99" i="1"/>
  <c r="E99" i="1"/>
  <c r="L98" i="1"/>
  <c r="K98" i="1"/>
  <c r="J98" i="1"/>
  <c r="E98" i="1"/>
  <c r="L97" i="1"/>
  <c r="K97" i="1"/>
  <c r="J97" i="1"/>
  <c r="E97" i="1"/>
  <c r="L96" i="1"/>
  <c r="K96" i="1"/>
  <c r="J96" i="1"/>
  <c r="E96" i="1"/>
  <c r="L95" i="1"/>
  <c r="K95" i="1"/>
  <c r="J95" i="1"/>
  <c r="E95" i="1"/>
  <c r="L94" i="1"/>
  <c r="K94" i="1"/>
  <c r="J94" i="1"/>
  <c r="E94" i="1"/>
  <c r="L93" i="1"/>
  <c r="K93" i="1"/>
  <c r="J93" i="1"/>
  <c r="E93" i="1"/>
  <c r="L92" i="1"/>
  <c r="K92" i="1"/>
  <c r="J92" i="1"/>
  <c r="E92" i="1"/>
  <c r="L91" i="1"/>
  <c r="K91" i="1"/>
  <c r="J91" i="1"/>
  <c r="E91" i="1"/>
  <c r="L90" i="1"/>
  <c r="K90" i="1"/>
  <c r="J90" i="1"/>
  <c r="E90" i="1"/>
  <c r="L89" i="1"/>
  <c r="K89" i="1"/>
  <c r="J89" i="1"/>
  <c r="E89" i="1"/>
  <c r="L88" i="1"/>
  <c r="K88" i="1"/>
  <c r="J88" i="1"/>
  <c r="E88" i="1"/>
  <c r="L87" i="1"/>
  <c r="K87" i="1"/>
  <c r="J87" i="1"/>
  <c r="E87" i="1"/>
  <c r="L86" i="1"/>
  <c r="K86" i="1"/>
  <c r="J86" i="1"/>
  <c r="E86" i="1"/>
  <c r="L85" i="1"/>
  <c r="K85" i="1"/>
  <c r="J85" i="1"/>
  <c r="E85" i="1"/>
  <c r="L84" i="1"/>
  <c r="K84" i="1"/>
  <c r="J84" i="1"/>
  <c r="E84" i="1"/>
  <c r="L83" i="1"/>
  <c r="K83" i="1"/>
  <c r="J83" i="1"/>
  <c r="E83" i="1"/>
  <c r="L82" i="1"/>
  <c r="K82" i="1"/>
  <c r="J82" i="1"/>
  <c r="E82" i="1"/>
  <c r="L81" i="1"/>
  <c r="K81" i="1"/>
  <c r="J81" i="1"/>
  <c r="E81" i="1"/>
  <c r="L80" i="1"/>
  <c r="K80" i="1"/>
  <c r="J80" i="1"/>
  <c r="E80" i="1"/>
  <c r="L79" i="1"/>
  <c r="K79" i="1"/>
  <c r="J79" i="1"/>
  <c r="E79" i="1"/>
  <c r="L78" i="1"/>
  <c r="K78" i="1"/>
  <c r="J78" i="1"/>
  <c r="E78" i="1"/>
  <c r="L77" i="1"/>
  <c r="K77" i="1"/>
  <c r="J77" i="1"/>
  <c r="E77" i="1"/>
  <c r="L76" i="1"/>
  <c r="K76" i="1"/>
  <c r="J76" i="1"/>
  <c r="E76" i="1"/>
  <c r="L75" i="1"/>
  <c r="K75" i="1"/>
  <c r="J75" i="1"/>
  <c r="E75" i="1"/>
  <c r="L74" i="1"/>
  <c r="K74" i="1"/>
  <c r="J74" i="1"/>
  <c r="E74" i="1"/>
  <c r="L73" i="1"/>
  <c r="K73" i="1"/>
  <c r="J73" i="1"/>
  <c r="E73" i="1"/>
  <c r="L72" i="1"/>
  <c r="K72" i="1"/>
  <c r="J72" i="1"/>
  <c r="E72" i="1"/>
  <c r="L71" i="1"/>
  <c r="K71" i="1"/>
  <c r="J71" i="1"/>
  <c r="E71" i="1"/>
  <c r="L70" i="1"/>
  <c r="K70" i="1"/>
  <c r="J70" i="1"/>
  <c r="E70" i="1"/>
  <c r="L69" i="1"/>
  <c r="K69" i="1"/>
  <c r="J69" i="1"/>
  <c r="E69" i="1"/>
  <c r="L68" i="1"/>
  <c r="K68" i="1"/>
  <c r="J68" i="1"/>
  <c r="E68" i="1"/>
  <c r="L67" i="1"/>
  <c r="K67" i="1"/>
  <c r="J67" i="1"/>
  <c r="E67" i="1"/>
  <c r="L66" i="1"/>
  <c r="K66" i="1"/>
  <c r="J66" i="1"/>
  <c r="E66" i="1"/>
  <c r="L65" i="1"/>
  <c r="K65" i="1"/>
  <c r="J65" i="1"/>
  <c r="E65" i="1"/>
  <c r="L64" i="1"/>
  <c r="K64" i="1"/>
  <c r="J64" i="1"/>
  <c r="E64" i="1"/>
  <c r="L63" i="1"/>
  <c r="K63" i="1"/>
  <c r="J63" i="1"/>
  <c r="E63" i="1"/>
  <c r="L62" i="1"/>
  <c r="K62" i="1"/>
  <c r="J62" i="1"/>
  <c r="E62" i="1"/>
  <c r="L61" i="1"/>
  <c r="K61" i="1"/>
  <c r="J61" i="1"/>
  <c r="E61" i="1"/>
  <c r="L60" i="1"/>
  <c r="K60" i="1"/>
  <c r="J60" i="1"/>
  <c r="E60" i="1"/>
  <c r="L59" i="1"/>
  <c r="K59" i="1"/>
  <c r="J59" i="1"/>
  <c r="E59" i="1"/>
  <c r="L58" i="1"/>
  <c r="K58" i="1"/>
  <c r="J58" i="1"/>
  <c r="E58" i="1"/>
  <c r="L57" i="1"/>
  <c r="K57" i="1"/>
  <c r="J57" i="1"/>
  <c r="E57" i="1"/>
  <c r="L56" i="1"/>
  <c r="K56" i="1"/>
  <c r="J56" i="1"/>
  <c r="E56" i="1"/>
  <c r="L55" i="1"/>
  <c r="K55" i="1"/>
  <c r="J55" i="1"/>
  <c r="E55" i="1"/>
  <c r="L54" i="1"/>
  <c r="K54" i="1"/>
  <c r="J54" i="1"/>
  <c r="E54" i="1"/>
  <c r="L53" i="1"/>
  <c r="K53" i="1"/>
  <c r="J53" i="1"/>
  <c r="E53" i="1"/>
  <c r="L52" i="1"/>
  <c r="K52" i="1"/>
  <c r="J52" i="1"/>
  <c r="E52" i="1"/>
  <c r="L51" i="1"/>
  <c r="K51" i="1"/>
  <c r="J51" i="1"/>
  <c r="E51" i="1"/>
  <c r="L50" i="1"/>
  <c r="K50" i="1"/>
  <c r="J50" i="1"/>
  <c r="E50" i="1"/>
  <c r="L49" i="1"/>
  <c r="K49" i="1"/>
  <c r="J49" i="1"/>
  <c r="E49" i="1"/>
  <c r="L48" i="1"/>
  <c r="K48" i="1"/>
  <c r="J48" i="1"/>
  <c r="E48" i="1"/>
  <c r="L47" i="1"/>
  <c r="K47" i="1"/>
  <c r="J47" i="1"/>
  <c r="E47" i="1"/>
  <c r="L46" i="1"/>
  <c r="K46" i="1"/>
  <c r="J46" i="1"/>
  <c r="E46" i="1"/>
  <c r="L45" i="1"/>
  <c r="K45" i="1"/>
  <c r="J45" i="1"/>
  <c r="E45" i="1"/>
  <c r="L44" i="1"/>
  <c r="K44" i="1"/>
  <c r="J44" i="1"/>
  <c r="E44" i="1"/>
  <c r="L43" i="1"/>
  <c r="K43" i="1"/>
  <c r="J43" i="1"/>
  <c r="E43" i="1"/>
  <c r="L42" i="1"/>
  <c r="K42" i="1"/>
  <c r="J42" i="1"/>
  <c r="E42" i="1"/>
  <c r="L41" i="1"/>
  <c r="K41" i="1"/>
  <c r="J41" i="1"/>
  <c r="E41" i="1"/>
  <c r="L40" i="1"/>
  <c r="K40" i="1"/>
  <c r="J40" i="1"/>
  <c r="E40" i="1"/>
  <c r="L39" i="1"/>
  <c r="K39" i="1"/>
  <c r="J39" i="1"/>
  <c r="E39" i="1"/>
  <c r="L38" i="1"/>
  <c r="K38" i="1"/>
  <c r="J38" i="1"/>
  <c r="E38" i="1"/>
  <c r="L37" i="1"/>
  <c r="K37" i="1"/>
  <c r="J37" i="1"/>
  <c r="E37" i="1"/>
  <c r="L36" i="1"/>
  <c r="K36" i="1"/>
  <c r="J36" i="1"/>
  <c r="E36" i="1"/>
  <c r="L35" i="1"/>
  <c r="K35" i="1"/>
  <c r="J35" i="1"/>
  <c r="E35" i="1"/>
  <c r="L34" i="1"/>
  <c r="K34" i="1"/>
  <c r="J34" i="1"/>
  <c r="E34" i="1"/>
  <c r="L33" i="1"/>
  <c r="K33" i="1"/>
  <c r="J33" i="1"/>
  <c r="E33" i="1"/>
  <c r="L32" i="1"/>
  <c r="K32" i="1"/>
  <c r="J32" i="1"/>
  <c r="E32" i="1"/>
  <c r="L31" i="1"/>
  <c r="K31" i="1"/>
  <c r="J31" i="1"/>
  <c r="E31" i="1"/>
  <c r="L30" i="1"/>
  <c r="K30" i="1"/>
  <c r="J30" i="1"/>
  <c r="E30" i="1"/>
  <c r="L29" i="1"/>
  <c r="K29" i="1"/>
  <c r="J29" i="1"/>
  <c r="E29" i="1"/>
  <c r="L28" i="1"/>
  <c r="K28" i="1"/>
  <c r="J28" i="1"/>
  <c r="E28" i="1"/>
  <c r="K27" i="1"/>
  <c r="J27" i="1"/>
  <c r="E27" i="1"/>
  <c r="L26" i="1"/>
  <c r="K26" i="1"/>
  <c r="J26" i="1"/>
  <c r="E26" i="1"/>
  <c r="L25" i="1"/>
  <c r="K25" i="1"/>
  <c r="J25" i="1"/>
  <c r="E25" i="1"/>
  <c r="L24" i="1"/>
  <c r="K24" i="1"/>
  <c r="J24" i="1"/>
  <c r="E24" i="1"/>
  <c r="L23" i="1"/>
  <c r="K23" i="1"/>
  <c r="J23" i="1"/>
  <c r="E23" i="1"/>
  <c r="L22" i="1"/>
  <c r="K22" i="1"/>
  <c r="J22" i="1"/>
  <c r="E22" i="1"/>
  <c r="L21" i="1"/>
  <c r="K21" i="1"/>
  <c r="J21" i="1"/>
  <c r="E21" i="1"/>
  <c r="L20" i="1"/>
  <c r="K20" i="1"/>
  <c r="J20" i="1"/>
  <c r="E20" i="1"/>
  <c r="L19" i="1"/>
  <c r="K19" i="1"/>
  <c r="J19" i="1"/>
  <c r="E19" i="1"/>
  <c r="L18" i="1"/>
  <c r="K18" i="1"/>
  <c r="J18" i="1"/>
  <c r="E18" i="1"/>
  <c r="L17" i="1"/>
  <c r="K17" i="1"/>
  <c r="J17" i="1"/>
  <c r="E17" i="1"/>
  <c r="L16" i="1"/>
  <c r="K16" i="1"/>
  <c r="J16" i="1"/>
  <c r="E16" i="1"/>
  <c r="L15" i="1"/>
  <c r="K15" i="1"/>
  <c r="J15" i="1"/>
  <c r="E15" i="1"/>
  <c r="L14" i="1"/>
  <c r="K14" i="1"/>
  <c r="J14" i="1"/>
  <c r="E14" i="1"/>
  <c r="L13" i="1"/>
  <c r="K13" i="1"/>
  <c r="J13" i="1"/>
  <c r="E13" i="1"/>
  <c r="L12" i="1"/>
  <c r="K12" i="1"/>
  <c r="J12" i="1"/>
  <c r="E12" i="1"/>
  <c r="L11" i="1"/>
  <c r="K11" i="1"/>
  <c r="J11" i="1"/>
  <c r="E11" i="1"/>
  <c r="L10" i="1"/>
  <c r="K10" i="1"/>
  <c r="J10" i="1"/>
  <c r="E10" i="1"/>
  <c r="L9" i="1"/>
  <c r="K9" i="1"/>
  <c r="J9" i="1"/>
  <c r="E9" i="1"/>
  <c r="L8" i="1"/>
  <c r="K8" i="1"/>
  <c r="J8" i="1"/>
  <c r="E8" i="1"/>
  <c r="L7" i="1"/>
  <c r="K7" i="1"/>
  <c r="J7" i="1"/>
  <c r="E7" i="1"/>
  <c r="L6" i="1"/>
  <c r="K6" i="1"/>
  <c r="J6" i="1"/>
  <c r="E6" i="1"/>
  <c r="L5" i="1"/>
  <c r="K5" i="1"/>
  <c r="J5" i="1"/>
  <c r="E5" i="1"/>
  <c r="L4" i="1"/>
  <c r="K4" i="1"/>
  <c r="J4" i="1"/>
  <c r="E4" i="1"/>
  <c r="L3" i="1"/>
  <c r="K3" i="1"/>
  <c r="J3" i="1"/>
  <c r="E3" i="1"/>
  <c r="L2" i="1"/>
  <c r="K2" i="1"/>
  <c r="J2" i="1"/>
  <c r="E2" i="1"/>
</calcChain>
</file>

<file path=xl/sharedStrings.xml><?xml version="1.0" encoding="utf-8"?>
<sst xmlns="http://schemas.openxmlformats.org/spreadsheetml/2006/main" count="1362" uniqueCount="686">
  <si>
    <t>priority</t>
  </si>
  <si>
    <t>name(kr)</t>
  </si>
  <si>
    <t>category</t>
  </si>
  <si>
    <t>scene(kr, chatgpt ver)</t>
  </si>
  <si>
    <t>scene(kr, check)</t>
  </si>
  <si>
    <t>lat</t>
  </si>
  <si>
    <t>lon</t>
  </si>
  <si>
    <t>address_repr(kr)</t>
  </si>
  <si>
    <t>prefecture(kr)</t>
  </si>
  <si>
    <t>aza(kr)</t>
  </si>
  <si>
    <t>muniCd</t>
  </si>
  <si>
    <t>address_link</t>
  </si>
  <si>
    <t>streetview</t>
  </si>
  <si>
    <t>__src_path</t>
  </si>
  <si>
    <t>__src_file</t>
  </si>
  <si>
    <t>스즈메의문단속</t>
  </si>
  <si>
    <t>도쿄역</t>
  </si>
  <si>
    <t>https://www.google.com/maps/dir/?api=1&amp;destination=35.68027,139.7671545</t>
  </si>
  <si>
    <t>https://www.google.com/maps/@35.68027,139.7671545,2a,90y,327.01h,90.7t/data=!3m6!1e1!3m4!1s--yJGDCe4F2hMzLTlnoPug!2e0!7i13312!8i6656?entry=ttu</t>
  </si>
  <si>
    <t>C:\py_temp\final_project\animepilgrimage-すずめの戸締まり\2026-01-13-17-59-38-animepilgrimage-すずめの戸締まり.csv</t>
  </si>
  <si>
    <t>2026-01-13-17-59-38-animepilgrimage-すずめの戸締まり.csv</t>
  </si>
  <si>
    <t>RAMEN CLUB 도쿄역점</t>
  </si>
  <si>
    <t>https://www.google.com/maps/dir/?api=1&amp;destination=35.68057,139.76605</t>
  </si>
  <si>
    <t>https://www.google.com/maps/@35.6805413,139.7660844,2a,90y,349.1h,91.31t/data=!3m7!1e1!3m5!1sHwGQSOb8lkFz0Ypyyb3VQA!2e0!6shttps:%2F%2Fstreetviewpixels-pa.googleapis.com%2Fv1%2Fthumbnail%3Fcb_client%3Dmaps_sv.tactile%26w%3D900%26h%3D600%26pitch%3D-1.3112471199084155%26panoid%3DHwGQSOb8lkFz0Ypyyb3VQA%26yaw%3D349.1006529490732!7i13312!8i6656?hl=ko&amp;entry=ttu&amp;g_ep=EgoyMDI0MTIxMS4wIKXMDSoASAFQAw%3D%3D</t>
  </si>
  <si>
    <t>도쿄역 주오선 1·2번 승강장</t>
  </si>
  <si>
    <t>https://www.google.com/maps/dir/?api=1&amp;destination=35.68149,139.76635</t>
  </si>
  <si>
    <t>https://www.google.com/maps/@35.6815329,139.7663436,2a,90y,171.41h,95.6t/data=!3m7!1e1!3m5!1sPo4DNniHj2HsgbpuA_lQKA!2e0!6shttps:%2F%2Fstreetviewpixels-pa.googleapis.com%2Fv1%2Fthumbnail%3Fcb_client%3Dmaps_sv.tactile%26w%3D900%26h%3D600%26pitch%3D-5.602276318302685%26panoid%3DPo4DNniHj2HsgbpuA_lQKA%26yaw%3D171.41155212300345!7i13312!8i6656?entry=ttu&amp;g_ep=EgoyMDI0MTIxMS4wIKXMDSoASAFQAw%3D%3D</t>
  </si>
  <si>
    <t>오차노미즈역</t>
  </si>
  <si>
    <t>https://www.google.com/maps/dir/?api=1&amp;destination=35.69933,139.76614</t>
  </si>
  <si>
    <t>https://maps.app.goo.gl/AzKBLPdK8ERhM7re9</t>
  </si>
  <si>
    <t>쇼와 다이이치 고등학교 부근</t>
  </si>
  <si>
    <t>https://www.google.com/maps/dir/?api=1&amp;destination=35.7027811,139.757694</t>
  </si>
  <si>
    <t>https://www.google.com/maps/@35.7027811,139.757694,3a,75y,182.46h,84.87t/data=!3m6!1e1!3m4!1s9Z0_JxbU7_Pi60KE82GCLw!2e0!7i16384!8i8192?entry=ttu</t>
  </si>
  <si>
    <t>준텐도대학</t>
  </si>
  <si>
    <t>https://www.google.com/maps/dir/?api=1&amp;destination=35.70201,139.7608</t>
  </si>
  <si>
    <t>https://www.google.com/maps/@35.7019652,139.7577953,3a,75y,67.72h,105.05t/data=!3m7!1e1!3m5!1svhj6LoBne_PmlKZTthkKWg!2e0!6shttps:%2F%2Fstreetviewpixels-pa.googleapis.com%2Fv1%2Fthumbnail%3Fpanoid%3Dvhj6LoBne_PmlKZTthkKWg%26cb_client%3Dmaps_sv.tactile.gps%26w%3D203%26h%3D100%26yaw%3D316.2118%26pitch%3D0%26thumbfov%3D100!7i16384!8i8192?entry=ttu</t>
  </si>
  <si>
    <t>히지리바시(버스)</t>
  </si>
  <si>
    <t>https://www.google.com/maps/dir/?api=1&amp;destination=35.70026,139.76534</t>
  </si>
  <si>
    <t>https://www.google.com/maps/@35.7003509,139.7653381,3a,87.8y,177.49h,87.9t/data=!3m7!1e1!3m5!1sZHNZtKl3l4_Pok72t_6lyQ!2e0!6shttps:%2F%2Fstreetviewpixels-pa.googleapis.com%2Fv1%2Fthumbnail%3Fcb_client%3Dmaps_sv.tactile%26w%3D900%26h%3D600%26pitch%3D2.1049057580307675%26panoid%3DZHNZtKl3l4_Pok72t_6lyQ%26yaw%3D177.48535336628208!7i16384!8i8192?hl=ko&amp;entry=ttu&amp;g_ep=EgoyMDI0MTIxMS4wIKXMDSoASAFQAw%3D%3D</t>
  </si>
  <si>
    <t>히지리바시</t>
  </si>
  <si>
    <t>https://www.google.com/maps/dir/?api=1&amp;destination=35.69975,139.76558</t>
  </si>
  <si>
    <t>https://www.google.com/maps/@35.6995507,139.7663764,3a,75y,207.42h,87.24t/data=!3m8!1e1!3m6!1sAF1QipMjavTbLidLZ-d1hfKytEZPi2UDqq9H1co0DWjT!2e10!3e11!6shttps:%2F%2Flh5.googleusercontent.com%2Fp%2FAF1QipMjavTbLidLZ-d1hfKytEZPi2UDqq9H1co0DWjT%3Dw203-h100-k-no-pi-0-ya288.97864-ro0-fo100!7i8704!8i4352?entry=ttu</t>
  </si>
  <si>
    <t>고지마치 경찰서·치도리가후치 경비 파출소</t>
  </si>
  <si>
    <t>https://www.google.com/maps/dir/?api=1&amp;destination=35.68834,139.74535</t>
  </si>
  <si>
    <t>https://www.google.com/maps/@35.6882993,139.7453077,3a,60.8y,279.65h,118.45t/data=!3m7!1e1!3m5!1sLPwN-c05RzVQwTOohDLa6A!2e0!6shttps:%2F%2Fstreetviewpixels-pa.googleapis.com%2Fv1%2Fthumbnail%3Fcb_client%3Dmaps_sv.tactile%26w%3D900%26h%3D600%26pitch%3D-28.45338494170292%26panoid%3DLPwN-c05RzVQwTOohDLa6A%26yaw%3D279.6472310733631!7i16384!8i8192?hl=ko&amp;entry=ttu&amp;g_ep=EgoyMDI0MTIxMS4wIKXMDSoASAFQAw%3D%3D</t>
  </si>
  <si>
    <t>오차노미즈바시</t>
  </si>
  <si>
    <t>https://www.google.com/maps/dir/?api=1&amp;destination=35.69986,139.76344</t>
  </si>
  <si>
    <t>https://www.google.com/maps/@35.7001277,139.7634609,3a,78.6y,189.96h,107.25t/data=!3m7!1e1!3m5!1sRLnO2_73jG2L58l-SL6STg!2e0!6shttps:%2F%2Fstreetviewpixels-pa.googleapis.com%2Fv1%2Fthumbnail%3Fcb_client%3Dmaps_sv.tactile%26w%3D900%26h%3D600%26pitch%3D-17.254888552643123%26panoid%3DRLnO2_73jG2L58l-SL6STg%26yaw%3D189.9599668398853!7i16384!8i8192?hl=ko&amp;entry=ttu&amp;g_ep=EgoyMDI0MTIxMS4wIKXMDSoASAFQAw%3D%3D</t>
  </si>
  <si>
    <t>시모쿠라 악기 오차노미즈 본점</t>
  </si>
  <si>
    <t>https://www.google.com/maps/dir/?api=1&amp;destination=35.69891,139.76293</t>
  </si>
  <si>
    <t>https://www.google.com/maps/@35.6989197,139.7628532,3a,48.8y,83.88h,106.31t/data=!3m7!1e1!3m5!1so254s9uB1KCTjubc4RYuDg!2e0!6shttps:%2F%2Fstreetviewpixels-pa.googleapis.com%2Fv1%2Fthumbnail%3Fcb_client%3Dmaps_sv.tactile%26w%3D900%26h%3D600%26pitch%3D-16.313324287282%26panoid%3Do254s9uB1KCTjubc4RYuDg%26yaw%3D83.87852061254789!7i16384!8i8192?hl=ko&amp;entry=ttu&amp;g_ep=EgoyMDI0MTIxMS4wIKXMDSoASAFQAw%3D%3D</t>
  </si>
  <si>
    <t>체인소맨</t>
  </si>
  <si>
    <t>EP 2</t>
  </si>
  <si>
    <t>피타트 하우스 네리마에키마에점</t>
  </si>
  <si>
    <t>https://www.google.com/maps/dir/?api=1&amp;destination=35.73759,139.65498</t>
  </si>
  <si>
    <t>https://maps.app.goo.gl/JKYVZCm8VLV6iSHz9</t>
  </si>
  <si>
    <t>C:\py_temp\final_project\animepilgrimage-チェンソーマン\2026-01-13-18-10-59-animepilgrimage-チェンソーマン.csv</t>
  </si>
  <si>
    <t>2026-01-13-18-10-59-animepilgrimage-チェンソーマン.csv</t>
  </si>
  <si>
    <t>EP 3</t>
  </si>
  <si>
    <t>네리마역</t>
  </si>
  <si>
    <t>https://www.google.com/maps/dir/?api=1&amp;destination=35.73767,139.65458</t>
  </si>
  <si>
    <t>https://maps.app.goo.gl/RZaGsCuZtN5FpRvr8</t>
  </si>
  <si>
    <t>EP 12</t>
  </si>
  <si>
    <t>무코야마초(버스)</t>
  </si>
  <si>
    <t>https://www.google.com/maps/dir/?api=1&amp;destination=35.73863,139.6422</t>
  </si>
  <si>
    <t>https://maps.app.goo.gl/vwFvgpMUiBRrjRjB8</t>
  </si>
  <si>
    <t>너의이름은</t>
  </si>
  <si>
    <t>타워레코드 시부야점</t>
  </si>
  <si>
    <t>https://www.google.com/maps/dir/?api=1&amp;destination=35.66178,139.70081</t>
  </si>
  <si>
    <t>https://www.google.com/maps/@35.6619665,139.7007769,3a,75y,151.7h,110.59t/data=!3m6!1e1!3m4!1smzS4O7rQaXZR4-3gKCIDnw!2e0!7i16384!8i8192?entry=ttu</t>
  </si>
  <si>
    <t>C:\py_temp\final_project\animepilgrimage-君の名は\2026-01-13-18-06-49-animepilgrimage-君の名は.csv</t>
  </si>
  <si>
    <t>2026-01-13-18-06-49-animepilgrimage-君の名は.csv</t>
  </si>
  <si>
    <t>신주쿠 빌딩</t>
  </si>
  <si>
    <t>https://www.google.com/maps/dir/?api=1&amp;destination=35.69096,139.69646</t>
  </si>
  <si>
    <t>https://www.google.com/maps/@35.6910431,139.6964603,3a,90y,325.47h,120.15t/data=!3m7!1e1!3m5!1sr3eZww8LIMExQ3D3iFZhEg!2e0!6shttps:%2F%2Fstreetviewpixels-pa.googleapis.com%2Fv1%2Fthumbnail%3Fcb_client%3Dmaps_sv.tactile%26w%3D900%26h%3D600%26pitch%3D-30.147790108296107%26panoid%3Dr3eZww8LIMExQ3D3iFZhEg%26yaw%3D325.46830339762994!7i16384!8i8192?hl=ko&amp;entry=ttu&amp;g_ep=EgoyMDI0MTIxMS4wIKXMDSoASAFQAw%3D%3D</t>
  </si>
  <si>
    <t>세븐일레븐 신주쿠역 야스쿠니도리점</t>
  </si>
  <si>
    <t>https://www.google.com/maps/dir/?api=1&amp;destination=35.69371,139.70093</t>
  </si>
  <si>
    <t>https://www.google.com/maps/@35.6937115,139.7010549,3a,90y,258.16h,107.94t/data=!3m7!1e1!3m5!1sV1We6drKjpWIwAB3Eifnkw!2e0!6shttps:%2F%2Fstreetviewpixels-pa.googleapis.com%2Fv1%2Fthumbnail%3Fcb_client%3Dmaps_sv.tactile%26w%3D900%26h%3D600%26pitch%3D-17.937575191706742%26panoid%3DV1We6drKjpWIwAB3Eifnkw%26yaw%3D258.1607378672105!7i16384!8i8192?entry=ttu&amp;g_ep=EgoyMDI1MDgwNi4wIKXMDSoASAFQAw%3D%3D</t>
  </si>
  <si>
    <t>나우 온 치즈 루미네 신주쿠점</t>
  </si>
  <si>
    <t>https://www.google.com/maps/dir/?api=1&amp;destination=35.68935,139.70072</t>
  </si>
  <si>
    <t>https://www.google.com/maps/@35.6892759,139.700574,3a,62.2y,49.96h,92.22t/data=!3m7!1e1!3m5!1sH2obMXgceDQIGZqA9x35fg!2e0!6shttps:%2F%2Fstreetviewpixels-pa.googleapis.com%2Fv1%2Fthumbnail%3Fcb_client%3Dmaps_sv.tactile%26w%3D900%26h%3D600%26pitch%3D-2.2206714019456513%26panoid%3DH2obMXgceDQIGZqA9x35fg%26yaw%3D49.961482577773396!7i16384!8i8192?hl=ko&amp;entry=ttu&amp;g_ep=EgoyMDI0MTIxMS4wIKXMDSoASAFQAw%3D%3D</t>
  </si>
  <si>
    <t>카페 라 보엠 신주쿠 교엔</t>
  </si>
  <si>
    <t>https://www.google.com/maps/dir/?api=1&amp;destination=35.68758,139.71287</t>
  </si>
  <si>
    <t>https://www.google.com/maps/place/Cafe+La+Boheme+Shinjuku+Gyoen/@35.6875946,139.7129097,2a,90y,181.93h,96.87t/data=!3m8!1e1!3m6!1sLLQtqiQ1PoL8UxVsdlWDbg!2e0!3e2!6shttps:%2F%2Fstreetviewpixels-pa.googleapis.com%2Fv1%2Fthumbnail%3Fcb_client%3Dmaps_sv.tactile%26w%3D900%26h%3D600%26pitch%3D-6.872631842117741%26panoid%3DLLQtqiQ1PoL8UxVsdlWDbg%26yaw%3D181.92677476894062!7i13312!8i6656!4m9!3m8!1s0x60188cea1ff82e8f:0xc4f768329b5ee283!8m2!3d35.6875891!4d139.7128716!10e5!14m1!1BCgIgARICCAI!16s%2Fg%2F1tczvy8t?entry=ttu&amp;g_ep=EgoyMDI0MTIxMS4wIKXMDSoASAFQAw%3D%3D</t>
  </si>
  <si>
    <t>LOVE 로버트 인디애나</t>
  </si>
  <si>
    <t>https://www.google.com/maps/dir/?api=1&amp;destination=35.69265,139.69422</t>
  </si>
  <si>
    <t>https://www.google.com/maps/@35.6926207,139.6940588,3a,75y,113.61h,119.43t/data=!3m6!1e1!3m4!1s9LAXi9SZVQpUJ3CyOFsDBw!2e0!7i16384!8i8192?entry=ttu</t>
  </si>
  <si>
    <t>메이지 신궁 외원</t>
  </si>
  <si>
    <t>https://www.google.com/maps/dir/?api=1&amp;destination=35.67517,139.71947</t>
  </si>
  <si>
    <t>https://www.google.com/maps/@35.6751315,139.7195682,3a,75y,331.82h,94.35t/data=!3m7!1e1!3m5!1sHom83xBxajtdN0FT_4eIgg!2e0!5s20140701T000000!7i13312!8i6656?entry=ttu</t>
  </si>
  <si>
    <t>세이부 신주쿠 페페 &amp; Brick St.</t>
  </si>
  <si>
    <t>https://www.google.com/maps/dir/?api=1&amp;destination=35.69408,139.70016</t>
  </si>
  <si>
    <t>https://www.google.com/maps/@35.694056,139.7003298,2a,90y,166.41h,108.43t/data=!3m7!1e1!3m5!1sM41kuN3TV7W3k3y_BQvd2w!2e0!6shttps:%2F%2Fstreetviewpixels-pa.googleapis.com%2Fv1%2Fthumbnail%3Fcb_client%3Dmaps_sv.tactile%26w%3D900%26h%3D600%26pitch%3D-18.434268279345687%26panoid%3DM41kuN3TV7W3k3y_BQvd2w%26yaw%3D166.4092461676581!7i13312!8i6656?hl=ko&amp;entry=ttu&amp;g_ep=EgoyMDI0MTIxMS4wIKXMDSoASAFQAw%3D%3D</t>
  </si>
  <si>
    <t>스타벅스 커피 SHIBUYA TSUTAYA 2F점</t>
  </si>
  <si>
    <t>https://www.google.com/maps/dir/?api=1&amp;destination=35.65981,139.70048</t>
  </si>
  <si>
    <t>https://www.google.com/maps/@35.6596205,139.7005607,3a,58.8y,336.97h,109.25t/data=!3m7!1e1!3m5!1sQvXyrcQ9QGUX4KEe2RR9CQ!2e0!6shttps:%2F%2Fstreetviewpixels-pa.googleapis.com%2Fv1%2Fthumbnail%3Fcb_client%3Dmaps_sv.tactile%26w%3D900%26h%3D600%26pitch%3D-19.253813670776168%26panoid%3DQvXyrcQ9QGUX4KEe2RR9CQ%26yaw%3D336.9714694851564!7i16384!8i8192?hl=ko&amp;entry=ttu&amp;g_ep=EgoyMDI0MTIxMS4wIKXMDSoASAFQAw%3D%3D</t>
  </si>
  <si>
    <t>다음</t>
  </si>
  <si>
    <t>폴리포니</t>
  </si>
  <si>
    <t>https://www.google.com/maps/dir/?api=1&amp;destination=35.68176,139.72571</t>
  </si>
  <si>
    <t>https://www.google.com/maps/@35.6819178,139.725729,3a,64.3y,185.27h,92.59t/data=!3m7!1e1!3m5!1s29ijU-2HFTejPxiRKiDm7Q!2e0!6shttps:%2F%2Fstreetviewpixels-pa.googleapis.com%2Fv1%2Fthumbnail%3Fcb_client%3Dmaps_sv.tactile%26w%3D900%26h%3D600%26pitch%3D-2.5936211645393428%26panoid%3D29ijU-2HFTejPxiRKiDm7Q%26yaw%3D185.27298717314844!7i16384!8i8192?entry=ttu&amp;g_ep=EgoyMDI0MTIxMS4wIKXMDSoASAFQAw%3D%3D</t>
  </si>
  <si>
    <t>아사히바시</t>
  </si>
  <si>
    <t>https://www.google.com/maps/dir/?api=1&amp;destination=35.68161,139.72592</t>
  </si>
  <si>
    <t>https://www.google.com/maps/@35.6816061,139.725992,3a,90y,191.03h,97.85t/data=!3m7!1e1!3m5!1siB42yvhxpoi8p7NAB5OagA!2e0!6shttps:%2F%2Fstreetviewpixels-pa.googleapis.com%2Fv1%2Fthumbnail%3Fcb_client%3Dmaps_sv.tactile%26w%3D900%26h%3D600%26pitch%3D-7.848353437382158%26panoid%3DiB42yvhxpoi8p7NAB5OagA%26yaw%3D191.02873947624823!7i16384!8i8192?hl=ko&amp;entry=ttu&amp;g_ep=EgoyMDI0MTIxMS4wIKXMDSoASAFQAw%3D%3D</t>
  </si>
  <si>
    <t>요쓰야역</t>
  </si>
  <si>
    <t>코지마치 6쵸메</t>
  </si>
  <si>
    <t>https://www.google.com/maps/dir/?api=1&amp;destination=35.6853358,139.7300709</t>
  </si>
  <si>
    <t>https://www.google.com/maps/@35.6853358,139.7300709,2a,75y,315.21h,99.46t/data=!3m7!1e1!3m5!1s0zM-Y-YNnNCTScH1S215OA!2e0!6shttps:%2F%2Fstreetviewpixels-pa.googleapis.com%2Fv1%2Fthumbnail%3Fpanoid%3D0zM-Y-YNnNCTScH1S215OA%26cb_client%3Dmaps_sv.tactile.gps%26w%3D203%26h%3D100%26yaw%3D203.3474%26pitch%3D0%26thumbfov%3D100!7i13312!8i6656?entry=ttu</t>
  </si>
  <si>
    <t>롯폰기힐즈 전망대 도쿄 시티뷰</t>
  </si>
  <si>
    <t>https://www.google.com/maps/dir/?api=1&amp;destination=35.66007,139.72929</t>
  </si>
  <si>
    <t>https://www.google.com/maps/place/Tokyo+City+View/@35.6603622,139.7297211,3a,90y,294.51h,91.73t/data=!3m8!1e1!3m6!1sAF1QipPA5QZQ0CKeVIDYPYXMwkmt1ir5bslNAFjxTgnQ!2e10!3e11!6shttps:%2F%2Flh5.googleusercontent.com%2Fp%2FAF1QipPA5QZQ0CKeVIDYPYXMwkmt1ir5bslNAFjxTgnQ%3Dw900-h600-k-no-pi-1.733354762216024-ya294.51455685083886-ro0-fo100!7i5376!8i2688!4m9!3m8!1s0x60188b770edd442b:0x667ab47030771257!8m2!3d35.6600712!4d139.7292907!10e5!14m1!1BCgIgARICCAI!16s%2Fg%2F11bccll_jd?entry=ttu&amp;g_ep=EgoyMDI0MTIxMS4wIKXMDSoASAFQAw%3D%3D</t>
  </si>
  <si>
    <t>국립 신미술관</t>
  </si>
  <si>
    <t>https://www.google.com/maps/dir/?api=1&amp;destination=35.66487,139.72602</t>
  </si>
  <si>
    <t>https://www.google.com/maps/@35.664923,139.7263534,2a,75y,247.97h,86.13t/data=!3m6!1e1!3m4!1sVPLKKXc7eKbJBvaKmwSYjQ!2e0!7i13312!8i6656?entry=ttu</t>
  </si>
  <si>
    <t>시나노초 보도교</t>
  </si>
  <si>
    <t>https://www.google.com/maps/dir/?api=1&amp;destination=35.6795071,139.7197313</t>
  </si>
  <si>
    <t>https://www.google.com/maps/@35.6795071,139.7197313,3a,75y,246.18h,98.11t/data=!3m6!1e1!3m4!1sKtm37yBn2mcdc4z9ULAE9g!2e0!7i16384!8i8192?entry=ttu</t>
  </si>
  <si>
    <t>시부야역 서쪽 출구 보도 다리 데크</t>
  </si>
  <si>
    <t>https://www.google.com/maps/dir/?api=1&amp;destination=35.65719,139.70111</t>
  </si>
  <si>
    <t>https://www.google.com/maps/@35.6572742,139.7008479,3a,90y,107.16h,114.44t/data=!3m7!1e1!3m5!1smNCg3scPrHGeSObqVoAavA!2e0!6shttps:%2F%2Fstreetviewpixels-pa.googleapis.com%2Fv1%2Fthumbnail%3Fcb_client%3Dmaps_sv.tactile%26w%3D900%26h%3D600%26pitch%3D-24.436321395864383%26panoid%3DmNCg3scPrHGeSObqVoAavA%26yaw%3D107.15772790943909!7i16384!8i8192?hl=ko&amp;entry=ttu&amp;g_ep=EgoyMDI0MTIxMS4wIKXMDSoASAFQAw%3D%3D</t>
  </si>
  <si>
    <t>HANAGATAYA 도쿄(도시락)</t>
  </si>
  <si>
    <t>https://www.google.com/maps/dir/?api=1&amp;destination=35.68043,139.76645</t>
  </si>
  <si>
    <t>https://www.google.com/maps/@35.6804465,139.7664628,2a,90y,195.29h,89.5t/data=!3m7!1e1!3m5!1sbwpAtuhNzdcnUMP3RMqjZA!2e0!6shttps:%2F%2Fstreetviewpixels-pa.googleapis.com%2Fv1%2Fthumbnail%3Fcb_client%3Dmaps_sv.tactile%26w%3D900%26h%3D600%26pitch%3D0.4958877596429687%26panoid%3DbwpAtuhNzdcnUMP3RMqjZA%26yaw%3D195.29194919569647!7i13312!8i6656?hl=ko&amp;entry=ttu&amp;g_ep=EgoyMDI0MTIxMS4wIKXMDSoASAFQAw%3D%3D</t>
  </si>
  <si>
    <t>HANAGATAYA 도쿄 야에스 남쪽 출구</t>
  </si>
  <si>
    <t>https://www.google.com/maps/dir/?api=1&amp;destination=35.68034,139.7672</t>
  </si>
  <si>
    <t>https://www.google.com/maps/@35.6803927,139.7670858,2a,75y,130.45h,95.45t/data=!3m7!1e1!3m5!1sOl7I4uMZK-71zaI7EjmNsA!2e0!6shttps:%2F%2Fstreetviewpixels-pa.googleapis.com%2Fv1%2Fthumbnail%3Fcb_client%3Dmaps_sv.tactile%26w%3D900%26h%3D600%26pitch%3D-5.446922747480286%26panoid%3DOl7I4uMZK-71zaI7EjmNsA%26yaw%3D130.4488836354226!7i13312!8i6656?entry=ttu&amp;g_ep=EgoyMDI0MTIxMS4wIKXMDSoASAFQAw%3D%3D</t>
  </si>
  <si>
    <t>진구 연식 구장 분수</t>
  </si>
  <si>
    <t>https://www.google.com/maps/dir/?api=1&amp;destination=35.67551,139.71921</t>
  </si>
  <si>
    <t>https://www.google.com/maps/@35.6755236,139.7191932,3a,75y,342.89h,93.8t/data=!3m8!1e1!3m6!1sAF1QipPDDka1hDLe-f4XmJrFsqvvl9bXiZAY0RbA4ZZC!2e10!3e11!6shttps:%2F%2Flh5.googleusercontent.com%2Fp%2FAF1QipPDDka1hDLe-f4XmJrFsqvvl9bXiZAY0RbA4ZZC%3Dw900-h600-k-no-pi-3.7972988401600816-ya2.8893683577078946-ro0-fo100!7i4608!8i2304?entry=ttu&amp;g_ep=EgoyMDI0MTIxMS4wIKXMDSoASAFQAw%3D%3D</t>
  </si>
  <si>
    <t>에키벤야 축제 그란스타 도쿄</t>
  </si>
  <si>
    <t>https://www.google.com/maps/dir/?api=1&amp;destination=35.6812094,139.7669619</t>
  </si>
  <si>
    <t>https://www.google.com/maps/@35.6812094,139.7669619,2a,75y,12.76h,88.89t/data=!3m6!1e1!3m4!1sRD2_FvEyJzjiXrboDAxErQ!2e0!7i13312!8i6656?entry=ttu</t>
  </si>
  <si>
    <t>셀린느 오모테산도</t>
  </si>
  <si>
    <t>https://www.google.com/maps/dir/?api=1&amp;destination=35.6657,139.71173</t>
  </si>
  <si>
    <t>https://www.google.com/maps/@35.6656019,139.7117767,3a,75y,329.98h,102.51t/data=!3m6!1e1!3m4!1sEMoW5WEii4wl7a8CFc-Rlw!2e0!7i16384!8i8192?entry=ttu</t>
  </si>
  <si>
    <t>요요기역</t>
  </si>
  <si>
    <t>https://www.google.com/maps/dir/?api=1&amp;destination=35.68386,139.7021</t>
  </si>
  <si>
    <t>https://www.google.com/maps/@35.6838122,139.7021384,3a,90y,307.38h,83.35t/data=!3m7!1e1!3m5!1sAF1QipMKMoSqDD0F6FnUnbimkVaVwCSPIWmFDKI7OeoP!2e10!6shttps:%2F%2Flh5.googleusercontent.com%2Fp%2FAF1QipMKMoSqDD0F6FnUnbimkVaVwCSPIWmFDKI7OeoP%3Dw900-h600-k-no-pi6.651875956410038-ya307.4717856940986-ro0-fo100!7i3584!8i1792?entry=ttu&amp;g_ep=EgoyMDI0MTIxMS4wIKXMDSoASAFQAw%3D%3D</t>
  </si>
  <si>
    <t>벤케이 다리</t>
  </si>
  <si>
    <t>https://www.google.com/maps/dir/?api=1&amp;destination=35.67882,139.73625</t>
  </si>
  <si>
    <t>https://www.google.com/maps/@35.6786067,139.7365556,3a,75y,315.9h,94.74t/data=!3m6!1e1!3m4!1sLWMvrXdQv6JlL0wXM7PceA!2e0!7i16384!8i8192?entry=ttu</t>
  </si>
  <si>
    <t>아카사카 지구 구명 유래판</t>
  </si>
  <si>
    <t>https://www.google.com/maps/dir/?api=1&amp;destination=35.67763,139.73691</t>
  </si>
  <si>
    <t>https://www.google.com/maps/@35.6778275,139.7370483,3a,90y,186.07h,106.56t/data=!3m6!1e1!3m4!1sGdPoKn6oF-JJI5qD11x2Ew!2e0!7i16384!8i8192?entry=ttu</t>
  </si>
  <si>
    <t>기이쿠니자카</t>
  </si>
  <si>
    <t>https://www.google.com/maps/dir/?api=1&amp;destination=35.67906,139.73293</t>
  </si>
  <si>
    <t>https://www.google.com/maps/@35.6791786,139.732854,3a,75y,345.25h,101.39t/data=!3m6!1e1!3m4!1sffr866vmFS336uwDmqaKAg!2e0!7i16384!8i8192?entry=ttu</t>
  </si>
  <si>
    <t>喰违见附迹</t>
  </si>
  <si>
    <t>쿠이치가이미츠케아토</t>
  </si>
  <si>
    <t>https://www.google.com/maps/dir/?api=1&amp;destination=35.68089,139.73165</t>
  </si>
  <si>
    <t>https://www.google.com/maps/@35.6808763,139.7316803,3a,90y,311.82h,101.03t/data=!3m6!1e1!3m4!1sgamkS1ONzKliNVDs_beleg!2e0!7i16384!8i8192?entry=ttu</t>
  </si>
  <si>
    <t>카페 벨로체 니시신주쿠점 부근</t>
  </si>
  <si>
    <t>https://www.google.com/maps/dir/?api=1&amp;destination=35.69341,139.69731</t>
  </si>
  <si>
    <t>https://www.google.com/maps/@35.693612,139.6977777,3a,75y,220.14h,115.06t/data=!3m6!1e1!3m4!1sVNbDvTurQsKExzQHV46aGw!2e0!7i16384!8i8192?entry=ttu</t>
  </si>
  <si>
    <t>기타산도역</t>
  </si>
  <si>
    <t>https://www.google.com/maps/dir/?api=1&amp;destination=35.67856,139.7054</t>
  </si>
  <si>
    <t>https://www.google.com/maps/place/%EA%B8%B0%ED%83%80%EC%82%B0%EB%8F%84+%EC%97%AD/@35.6785909,139.7054205,2a,90y,295.05h,92.3t/data=!3m7!1e1!3m5!1sBjkTB49IIPyolTx-rAMK8g!2e0!6shttps:%2F%2Fstreetviewpixels-pa.googleapis.com%2Fv1%2Fthumbnail%3Fcb_client%3Dmaps_sv.tactile%26w%3D900%26h%3D600%26pitch%3D-2.301613076696256%26panoid%3DBjkTB49IIPyolTx-rAMK8g%26yaw%3D295.0528947254521!7i13312!8i6656!4m9!3m8!1s0x60188cb8da369c85:0x6027e52dad5dde17!8m2!3d35.6783688!4d139.7055537!10e5!14m1!1BCgIgARICCAI!16s%2Fm%2F043ksxv?hl=ko&amp;entry=ttu&amp;g_ep=EgoyMDI0MTIxMS4wIKXMDSoASAFQAw%3D%3D</t>
  </si>
  <si>
    <t>VIEW ALTTE JR 신주쿠역 남쪽 출구 발매기 옆</t>
  </si>
  <si>
    <t>https://www.google.com/maps/dir/?api=1&amp;destination=35.6894,139.70018</t>
  </si>
  <si>
    <t>https://www.google.com/maps/@35.689367,139.7003922,2a,75y,323.35h,89.91t/data=!3m6!1e1!3m4!1stABebKVeYGZPIz1W8gMJog!2e0!7i13312!8i6656?entry=ttu</t>
  </si>
  <si>
    <t>센다가야역</t>
  </si>
  <si>
    <t>https://www.google.com/maps/dir/?api=1&amp;destination=35.6806971,139.7115109</t>
  </si>
  <si>
    <t>https://www.google.com/maps/@35.6806971,139.7115109,3a,75y,345.17h,96.53t/data=!3m7!1e1!3m5!1sX3YZUI-wRhxXTxw9P1lsSA!2e0!6shttps:%2F%2Fstreetviewpixels-pa.googleapis.com%2Fv1%2Fthumbnail%3Fpanoid%3DX3YZUI-wRhxXTxw9P1lsSA%26cb_client%3Dmaps_sv.tactile.gps%26w%3D203%26h%3D100%26yaw%3D338.85287%26pitch%3D0%26thumbfov%3D100!7i16384!8i8192?entry=ttu</t>
  </si>
  <si>
    <t>사이카파크 시나노마치역 주륜장 A지역</t>
  </si>
  <si>
    <t>https://www.google.com/maps/dir/?api=1&amp;destination=35.68027,139.71906</t>
  </si>
  <si>
    <t>https://www.google.com/maps/@35.6803215,139.7192581,3a,47.1y,253.76h,93.52t/data=!3m6!1e1!3m4!1syJvf6Kjv1lFlOBfsvhaINg!2e0!7i16384!8i8192?entry=ttu</t>
  </si>
  <si>
    <t>엔도지 사카</t>
  </si>
  <si>
    <t>엔츠지자카</t>
  </si>
  <si>
    <t>https://www.google.com/maps/dir/?api=1&amp;destination=35.68666,139.7226</t>
  </si>
  <si>
    <t>https://www.google.com/maps/@35.6870407,139.7227227,3a,39.9y,196.38h,92.36t/data=!3m6!1e1!3m4!1sgvajjdrbGQunnj8WoninqA!2e0!7i16384!8i8192?entry=ttu</t>
  </si>
  <si>
    <t>히가시후쿠인자카</t>
  </si>
  <si>
    <t>https://www.google.com/maps/dir/?api=1&amp;destination=35.68552,139.72368</t>
  </si>
  <si>
    <t>https://www.google.com/maps/@35.6856604,139.7237803,3a,75y,210.07h,89.35t/data=!3m7!1e1!3m5!1szoqYt5wgelhemqJq4IA68g!2e0!6shttps:%2F%2Fstreetviewpixels-pa.googleapis.com%2Fv1%2Fthumbnail%3Fpanoid%3DzoqYt5wgelhemqJq4IA68g%26cb_client%3Dmaps_sv.tactile.gps%26w%3D203%26h%3D100%26yaw%3D63.52962%26pitch%3D0%26thumbfov%3D100!7i16384!8i8192?entry=ttu</t>
  </si>
  <si>
    <t>스가 신사 오사카</t>
  </si>
  <si>
    <t>https://www.google.com/maps/dir/?api=1&amp;destination=35.68505,139.72333</t>
  </si>
  <si>
    <t>https://www.google.com/maps/place/Suga+Shrine+Otokodan/@35.685207,139.7235042,3a,90y,13.57h,79.68t/data=!3m8!1e1!3m6!1sAF1QipP4gXcUq2a-P5z4SsbLNzP1s0FLFMzlinIDTNlI!2e10!3e11!6shttps:%2F%2Flh5.googleusercontent.com%2Fp%2FAF1QipP4gXcUq2a-P5z4SsbLNzP1s0FLFMzlinIDTNlI%3Dw900-h600-k-no-pi10.318146593978085-ya13.566830782174623-ro0-fo100!7i5376!8i2688!4m9!3m8!1s0x60188d308a909915:0xacf9ea04e44c674c!8m2!3d35.6850552!4d139.7233349!10e5!14m1!1BCgIgARICCAI!16s%2Fg%2F11g4sk641g?entry=ttu&amp;g_ep=EgoyMDI0MTIxMS4wIKXMDSoASAFQAw%3D%3D</t>
  </si>
  <si>
    <t>주술회전</t>
  </si>
  <si>
    <t>OP</t>
  </si>
  <si>
    <t>센다가야 터널</t>
  </si>
  <si>
    <t>https://www.google.com/maps/dir/?api=1&amp;destination=35.67546,139.71153</t>
  </si>
  <si>
    <t>https://maps.app.goo.gl/TDFK8BTYbMsXrRnC7</t>
  </si>
  <si>
    <t>C:\py_temp\final_project\animepilgrimage-呪術廻戦\2026-01-13-17-05-18-animepilgrimage-呪術廻戦.csv</t>
  </si>
  <si>
    <t>2026-01-13-17-05-18-animepilgrimage-呪術廻戦.csv</t>
  </si>
  <si>
    <t>롯폰기힐즈</t>
  </si>
  <si>
    <t>https://www.google.com/maps/dir/?api=1&amp;destination=35.66074,139.73014</t>
  </si>
  <si>
    <t>https://maps.app.goo.gl/2JhaiDr6pghMz86x7</t>
  </si>
  <si>
    <t>우에노 동물원</t>
  </si>
  <si>
    <t>https://www.google.com/maps/dir/?api=1&amp;destination=35.71645,139.77257</t>
  </si>
  <si>
    <t>https://maps.app.goo.gl/KxorfsgK3PJAi8W6A</t>
  </si>
  <si>
    <t>니콜라이 베르그만 플라워 &amp; 디자인 플래그십 스토어</t>
  </si>
  <si>
    <t>https://www.google.com/maps/dir/?api=1&amp;destination=35.66308,139.71285</t>
  </si>
  <si>
    <t>https://maps.app.goo.gl/cqQK8DAjV2Smo3y66</t>
  </si>
  <si>
    <t>대전 흑공원</t>
  </si>
  <si>
    <t>오타구로 공원</t>
  </si>
  <si>
    <t>https://www.google.com/maps/dir/?api=1&amp;destination=35.70028,139.62514</t>
  </si>
  <si>
    <t>https://maps.app.goo.gl/2RMdaVB3NvXpdQF57</t>
  </si>
  <si>
    <t>HUB 키치죠지 미나미구치점</t>
  </si>
  <si>
    <t>https://www.google.com/maps/dir/?api=1&amp;destination=35.70271,139.5792</t>
  </si>
  <si>
    <t>https://maps.app.goo.gl/gbYuSTLQw1126dht9</t>
  </si>
  <si>
    <t>스바루빌 신주쿠의 눈</t>
  </si>
  <si>
    <t>https://www.google.com/maps/dir/?api=1&amp;destination=35.69137,139.69799</t>
  </si>
  <si>
    <t>https://maps.app.goo.gl/qXp28SRN9YtFSZt86</t>
  </si>
  <si>
    <t>다케시타도리 입구 아치(하라주쿠역)</t>
  </si>
  <si>
    <t>다케시타거리 입구 아치(구조물)</t>
  </si>
  <si>
    <t>https://www.google.com/maps/dir/?api=1&amp;destination=35.67156,139.70316</t>
  </si>
  <si>
    <t>https://maps.app.goo.gl/Vy2JEvuv6tt37dLt9</t>
  </si>
  <si>
    <t>하라주쿠역</t>
  </si>
  <si>
    <t>https://www.google.com/maps/dir/?api=1&amp;destination=35.66992,139.70274</t>
  </si>
  <si>
    <t>https://maps.app.goo.gl/XKdJ81MrL6TLTnWY7</t>
  </si>
  <si>
    <t>청바지 메이트 다케시타 도리점</t>
  </si>
  <si>
    <t>https://www.google.com/maps/dir/?api=1&amp;destination=35.67134,139.70434</t>
  </si>
  <si>
    <t>https://maps.app.goo.gl/rUjPb8shBESmqBUM9</t>
  </si>
  <si>
    <t>후지코인 로커 K-2340</t>
  </si>
  <si>
    <t>https://www.google.com/maps/dir/?api=1&amp;destination=35.67125,139.70337</t>
  </si>
  <si>
    <t>https://maps.app.goo.gl/HFwxXqfzhh2zAYkr6</t>
  </si>
  <si>
    <t>롯폰기역</t>
  </si>
  <si>
    <t>https://www.google.com/maps/dir/?api=1&amp;destination=35.66314,139.73253</t>
  </si>
  <si>
    <t>https://maps.app.goo.gl/MddCHipmeFg4rVwPA</t>
  </si>
  <si>
    <t>롯폰기 케야키자카 거리</t>
  </si>
  <si>
    <t>https://www.google.com/maps/dir/?api=1&amp;destination=35.65919,139.73034</t>
  </si>
  <si>
    <t>https://maps.app.goo.gl/UT9CydsTMrBWZYUH8</t>
  </si>
  <si>
    <t>https://www.google.com/maps/dir/?api=1&amp;destination=35.66017,139.72937</t>
  </si>
  <si>
    <t>https://maps.app.goo.gl/ubQFWH2ZFRfSatG26</t>
  </si>
  <si>
    <t>시티 하우스 요요기</t>
  </si>
  <si>
    <t>https://www.google.com/maps/dir/?api=1&amp;destination=35.68121,139.70279</t>
  </si>
  <si>
    <t>https://maps.app.goo.gl/1QdkaYomQAoyYFWz5</t>
  </si>
  <si>
    <t>https://www.google.com/maps/dir/?api=1&amp;destination=35.68289,139.70187</t>
  </si>
  <si>
    <t>https://maps.app.goo.gl/2GF4VbHwbejVJbs88</t>
  </si>
  <si>
    <t>EP 5</t>
  </si>
  <si>
    <t>류세이도 약국 신주쿠점</t>
  </si>
  <si>
    <t>https://www.google.com/maps/dir/?api=1&amp;destination=35.69325,139.70229</t>
  </si>
  <si>
    <t>https://maps.app.goo.gl/CmUpT68p3CyArv6q7</t>
  </si>
  <si>
    <t>가스트 신주쿠 야스쿠니 통점</t>
  </si>
  <si>
    <t>https://www.google.com/maps/dir/?api=1&amp;destination=35.69307,139.70412</t>
  </si>
  <si>
    <t>https://maps.app.goo.gl/pLNormHzUNFgiY8q6</t>
  </si>
  <si>
    <t>EP 6</t>
  </si>
  <si>
    <t>온다 다리터</t>
  </si>
  <si>
    <t>온다 하시모토</t>
  </si>
  <si>
    <t>https://www.google.com/maps/dir/?api=1&amp;destination=35.6665,139.70597</t>
  </si>
  <si>
    <t>https://maps.app.goo.gl/zbExUkdu6pEiBJrk8</t>
  </si>
  <si>
    <t>EP 8</t>
  </si>
  <si>
    <t>AOKI 키치죠지 선로드점</t>
  </si>
  <si>
    <t>아오키 키치죠지 선로드 매장</t>
  </si>
  <si>
    <t>https://www.google.com/maps/dir/?api=1&amp;destination=35.70472,139.58044</t>
  </si>
  <si>
    <t>https://maps.app.goo.gl/zjLgGwdbUZUH6aPNA</t>
  </si>
  <si>
    <t>키치죠지 플라자</t>
  </si>
  <si>
    <t>https://www.google.com/maps/dir/?api=1&amp;destination=35.70663,139.58061</t>
  </si>
  <si>
    <t>https://maps.app.goo.gl/PTZorPKHGy2mG73S8</t>
  </si>
  <si>
    <t>EP 9</t>
  </si>
  <si>
    <t>미스터 도넛 키치 죠지 선로드 숍</t>
  </si>
  <si>
    <t>https://www.google.com/maps/dir/?api=1&amp;destination=35.70533,139.58063</t>
  </si>
  <si>
    <t>https://maps.app.goo.gl/AvYLx8MV4euy29si7</t>
  </si>
  <si>
    <t>산 마르크 카페 아사 가야 역 앞 점</t>
  </si>
  <si>
    <t>산 마르크 카페 아사가야 역앞 매장</t>
  </si>
  <si>
    <t>https://www.google.com/maps/dir/?api=1&amp;destination=35.7042,139.63674</t>
  </si>
  <si>
    <t>https://maps.app.goo.gl/JU3Pw2eNjghEb4UAA</t>
  </si>
  <si>
    <t>EP 11</t>
  </si>
  <si>
    <t>다이코쿠 스시</t>
  </si>
  <si>
    <t>https://www.google.com/maps/dir/?api=1&amp;destination=35.70615,139.63636</t>
  </si>
  <si>
    <t>https://maps.app.goo.gl/NkePvzMVFA1FCZ2S9</t>
  </si>
  <si>
    <t>EP 13</t>
  </si>
  <si>
    <t>카페 벨로체 니시신주쿠점</t>
  </si>
  <si>
    <t>https://www.google.com/maps/dir/?api=1&amp;destination=35.69371,139.69773</t>
  </si>
  <si>
    <t>https://maps.app.goo.gl/gT5PVjy4Sm9V3oJJA</t>
  </si>
  <si>
    <t>EP 14</t>
  </si>
  <si>
    <t>일본 공업 클럽</t>
  </si>
  <si>
    <t>https://www.google.com/maps/dir/?api=1&amp;destination=35.68317,139.76506</t>
  </si>
  <si>
    <t>https://maps.app.goo.gl/ppUMVFQwCzim26dZ7</t>
  </si>
  <si>
    <t>EP 23</t>
  </si>
  <si>
    <t>아사가야역</t>
  </si>
  <si>
    <t>https://www.google.com/maps/dir/?api=1&amp;destination=35.70441,139.63637</t>
  </si>
  <si>
    <t>https://maps.app.goo.gl/5Pmg9Kdy5siR4kWy8</t>
  </si>
  <si>
    <t>아사야 펄 센터 상가</t>
  </si>
  <si>
    <t>아사가야 펄 센터 상가</t>
  </si>
  <si>
    <t>https://www.google.com/maps/dir/?api=1&amp;destination=35.70462,139.63681</t>
  </si>
  <si>
    <t>https://maps.app.goo.gl/uXDH98q4Uc3ChqXf9</t>
  </si>
  <si>
    <t>EP 24</t>
  </si>
  <si>
    <t>스타벅스 커피 게이오 신주쿠 산쵸메 빌딩점</t>
  </si>
  <si>
    <t>https://www.google.com/maps/dir/?api=1&amp;destination=35.69051,139.70556</t>
  </si>
  <si>
    <t>https://maps.app.goo.gl/erMzpqRPp1KwcVZ1A</t>
  </si>
  <si>
    <t>ED</t>
  </si>
  <si>
    <t>방콕 나이트 시부야</t>
  </si>
  <si>
    <t>https://www.google.com/maps/dir/?api=1&amp;destination=35.6626,139.69711</t>
  </si>
  <si>
    <t>https://www.google.com/maps/@35.6625743,139.6970943,3a,90y,33.68h,105.13t/data=!3m7!1e1!3m5!1sl6XO6XDoTe1VJxtTIPSxow!2e0!6shttps:%2F%2Fstreetviewpixels-pa.googleapis.com%2Fv1%2Fthumbnail%3Fcb_client%3Dmaps_sv.tactile%26w%3D900%26h%3D600%26pitch%3D-15.133365074220166%26panoid%3Dl6XO6XDoTe1VJxtTIPSxow%26yaw%3D33.681017039855256!7i16384!8i8192?entry=ttu&amp;g_ep=EgoyMDI0MTIxMS4wIKXMDSoASAFQAw%3D%3D</t>
  </si>
  <si>
    <t>CONA 시부야 우다가와초점</t>
  </si>
  <si>
    <t>https://www.google.com/maps/dir/?api=1&amp;destination=35.6625,139.69706</t>
  </si>
  <si>
    <t>https://www.google.com/maps/@35.6625049,139.6970705,3a,90y,285.22h,78.32t/data=!3m7!1e1!3m5!1siaXEZiUUi4O6Gq3_J9HTRw!2e0!6shttps:%2F%2Fstreetviewpixels-pa.googleapis.com%2Fv1%2Fthumbnail%3Fcb_client%3Dmaps_sv.tactile%26w%3D900%26h%3D600%26pitch%3D11.676219773141113%26panoid%3DiaXEZiUUi4O6Gq3_J9HTRw%26yaw%3D285.2206208025664!7i16384!8i8192?hl=ko&amp;entry=ttu&amp;g_ep=EgoyMDI0MTIxMS4wIKXMDSoASAFQAw%3D%3D</t>
  </si>
  <si>
    <t>생구이 호르몬 전가 별저</t>
  </si>
  <si>
    <t>생구이 호르몬 모토야 별채</t>
  </si>
  <si>
    <t>https://www.google.com/maps/dir/?api=1&amp;destination=35.66249,139.69744</t>
  </si>
  <si>
    <t>https://www.google.com/maps/place/HICOLLECT+%E6%B8%8B%E8%B0%B7%E5%BA%97/@35.6625514,139.6975031,3a,75y,217.36h,92.08t/data=!3m6!1e1!3m4!1sS8a81rz8Y3G8j06L_kSNWg!2e0!7i16384!8i8192!4m14!1m7!3m6!1s0x60188da5951d3dd3:0xd861d5d018b01077!2zSElDT0xMRUNUIOa4i-iwt-W6lw!8m2!3d35.6625791!4d139.6976583!16s%2Fg%2F11tjs7b78s!3m5!1s0x60188da5951d3dd3:0xd861d5d018b01077!8m2!3d35.6625791!4d139.6976583!16s%2Fg%2F11tjs7b78s?coh=205409&amp;entry=ttu</t>
  </si>
  <si>
    <t>나카시부야 가드 주륜장</t>
  </si>
  <si>
    <t>https://www.google.com/maps/dir/?api=1&amp;destination=35.6603507,139.7014408</t>
  </si>
  <si>
    <t>https://www.google.com/maps/@35.6603585,139.7013909,3a,26.9y,279.76h,88.99t/data=!3m7!1e1!3m5!1snq3tkBIgP7B05T1bCMmhkg!2e0!6shttps:%2F%2Fstreetviewpixels-pa.googleapis.com%2Fv1%2Fthumbnail%3Fcb_client%3Dmaps_sv.tactile%26w%3D900%26h%3D600%26pitch%3D1.0142769266325615%26panoid%3Dnq3tkBIgP7B05T1bCMmhkg%26yaw%3D279.75520344425587!7i16384!8i8192?entry=ttu&amp;g_ep=EgoyMDI0MTIxMS4wIKXMDSoASAFQAw%3D%3D</t>
  </si>
  <si>
    <t>시부야 PARCO</t>
  </si>
  <si>
    <t>https://www.google.com/maps/dir/?api=1&amp;destination=35.6619145,139.6992841</t>
  </si>
  <si>
    <t>https://www.google.com/maps/@35.6619145,139.6992841,3a,75y,356.39h,94.81t/data=!3m7!1e1!3m5!1sS7uQ6NGvSWgJXJLVKY8shA!2e0!6shttps:%2F%2Fstreetviewpixels-pa.googleapis.com%2Fv1%2Fthumbnail%3Fpanoid%3DS7uQ6NGvSWgJXJLVKY8shA%26cb_client%3Dmaps_sv.tactile.gps%26w%3D203%26h%3D100%26yaw%3D133.98666%26pitch%3D0%26thumbfov%3D100!7i16384!8i8192?entry=ttu</t>
  </si>
  <si>
    <t>가로 정원의 "나비 효과"</t>
  </si>
  <si>
    <t>https://www.google.com/maps/dir/?api=1&amp;destination=35.6624451,139.6992892</t>
  </si>
  <si>
    <t>https://www.google.com/maps/@35.6624451,139.6992892,3a,90y,65.84h,93.62t/data=!3m6!1e1!3m4!1szuNufFOlmjNosq801-uuNQ!2e0!7i16384!8i8192?coh=205409&amp;entry=ttu</t>
  </si>
  <si>
    <t>LUKE'S LOBSTER 시부야 ParkStreet점</t>
  </si>
  <si>
    <t>https://www.google.com/maps/dir/?api=1&amp;destination=35.66345,139.6995</t>
  </si>
  <si>
    <t>https://www.google.com/maps/@35.6634455,139.6994547,3a,63.5y,52.67h,89.98t/data=!3m7!1e1!3m5!1sWN67ae78EIq_Drw3Vco08Q!2e0!6shttps:%2F%2Fstreetviewpixels-pa.googleapis.com%2Fv1%2Fthumbnail%3Fcb_client%3Dmaps_sv.tactile%26w%3D900%26h%3D600%26pitch%3D0.02400645449148442%26panoid%3DWN67ae78EIq_Drw3Vco08Q%26yaw%3D52.665904257999806!7i16384!8i8192?hl=ko&amp;entry=ttu&amp;g_ep=EgoyMDI0MTIxMS4wIKXMDSoASAFQAw%3D%3D</t>
  </si>
  <si>
    <t>핸즈 시부야점</t>
  </si>
  <si>
    <t>https://www.google.com/maps/dir/?api=1&amp;destination=35.66219,139.69747</t>
  </si>
  <si>
    <t>https://www.google.com/maps/@35.6621184,139.6974002,3a,70.2y,51.95h,104.8t/data=!3m7!1e1!3m5!1sDN-S5Ry3XoXvNgJ3RZWv2A!2e0!6shttps:%2F%2Fstreetviewpixels-pa.googleapis.com%2Fv1%2Fthumbnail%3Fcb_client%3Dmaps_sv.tactile%26w%3D900%26h%3D600%26pitch%3D-14.80130569995164%26panoid%3DDN-S5Ry3XoXvNgJ3RZWv2A%26yaw%3D51.95138813620993!7i16384!8i8192?hl=ko&amp;entry=ttu&amp;g_ep=EgoyMDI0MTIxMS4wIKXMDSoASAFQAw%3D%3D</t>
  </si>
  <si>
    <t>시부야역 서쪽 출구 보도 다리</t>
  </si>
  <si>
    <t>https://www.google.com/maps/dir/?api=1&amp;destination=35.6575,139.70187</t>
  </si>
  <si>
    <t>https://www.google.com/maps/@35.6574979,139.7017191,3a,48.7y,90.04h,88.35t/data=!3m7!1e1!3m5!1swBEyt-zlG0s4hDLHVVrdlw!2e0!6shttps:%2F%2Fstreetviewpixels-pa.googleapis.com%2Fv1%2Fthumbnail%3Fcb_client%3Dmaps_sv.tactile%26w%3D900%26h%3D600%26pitch%3D1.6528326256272692%26panoid%3DwBEyt-zlG0s4hDLHVVrdlw%26yaw%3D90.0356349431763!7i16384!8i8192?entry=ttu&amp;g_ep=EgoyMDI0MTIxMS4wIKXMDSoASAFQAw%3D%3D</t>
  </si>
  <si>
    <t>미쓰이 스미토모 신탁 은행 다치카와 지점</t>
  </si>
  <si>
    <t>https://www.google.com/maps/dir/?api=1&amp;destination=35.69905,139.41357</t>
  </si>
  <si>
    <t>https://www.google.com/maps/@35.6990245,139.413478,3a,90y,77.55h,95.08t/data=!3m7!1e1!3m5!1sjsAV3HX4NTwY0UGkpUmu6Q!2e0!6shttps:%2F%2Fstreetviewpixels-pa.googleapis.com%2Fv1%2Fthumbnail%3Fcb_client%3Dmaps_sv.tactile%26w%3D900%26h%3D600%26pitch%3D-5.082993607838844%26panoid%3DjsAV3HX4NTwY0UGkpUmu6Q%26yaw%3D77.54992580089021!7i16384!8i8192?hl=ko&amp;entry=ttu&amp;g_ep=EgoyMDI0MTIxMS4wIKXMDSoASAFQAw%3D%3D</t>
  </si>
  <si>
    <t>웬디스 퍼스트 키친 다치카와 프롬 나카부점</t>
  </si>
  <si>
    <t>https://www.google.com/maps/dir/?api=1&amp;destination=35.69978,139.41456</t>
  </si>
  <si>
    <t>https://www.google.com/maps/@35.6996243,139.4143786,3a,27.3y,54.33h,90.7t/data=!3m7!1e1!3m5!1s2pK2aX9-cPXn7c4VqMY1Tw!2e0!6shttps:%2F%2Fstreetviewpixels-pa.googleapis.com%2Fv1%2Fthumbnail%3Fcb_client%3Dmaps_sv.tactile%26w%3D900%26h%3D600%26pitch%3D-0.6999828726157205%26panoid%3D2pK2aX9-cPXn7c4VqMY1Tw%26yaw%3D54.329958126169096!7i16384!8i8192?hl=ko&amp;entry=ttu&amp;g_ep=EgoyMDI0MTIxMS4wIKXMDSoASAFQAw%3D%3D</t>
  </si>
  <si>
    <t>다치카와 역</t>
  </si>
  <si>
    <t>https://www.google.com/maps/dir/?api=1&amp;destination=35.69857,139.4139</t>
  </si>
  <si>
    <t>https://www.google.com/maps/@35.6986931,139.4138491,3a,90y,358.01h,103.07t/data=!3m7!1e1!3m5!1sPAbG6arl7DQ5HI9e2PuDhw!2e0!6shttps:%2F%2Fstreetviewpixels-pa.googleapis.com%2Fv1%2Fthumbnail%3Fcb_client%3Dmaps_sv.tactile%26w%3D900%26h%3D600%26pitch%3D-13.071766925408298%26panoid%3DPAbG6arl7DQ5HI9e2PuDhw%26yaw%3D358.012813385084!7i16384!8i8192?hl=ko&amp;entry=ttu&amp;g_ep=EgoyMDI0MTIxMS4wIKXMDSoASAFQAw%3D%3D</t>
  </si>
  <si>
    <t>인도 정식 탈리 가게 다치카와 기타구치점</t>
  </si>
  <si>
    <t>인도정식 탈리 다치가와 북쪽출구 매장</t>
  </si>
  <si>
    <t>https://www.google.com/maps/dir/?api=1&amp;destination=35.69965,139.41419</t>
  </si>
  <si>
    <t>https://www.google.com/maps/@35.6996993,139.4143058,3a,90y,284.08h,92.33t/data=!3m7!1e1!3m5!1s_c6oeEoxUIE9fzFSy5_KFw!2e0!6shttps:%2F%2Fstreetviewpixels-pa.googleapis.com%2Fv1%2Fthumbnail%3Fcb_client%3Dmaps_sv.tactile%26w%3D900%26h%3D600%26pitch%3D-2.3302112362289336%26panoid%3D_c6oeEoxUIE9fzFSy5_KFw%26yaw%3D284.0783911315814!7i16384!8i8192?entry=ttu&amp;g_ep=EgoyMDI0MTIxMS4wIKXMDSoASAFQAw%3D%3D</t>
  </si>
  <si>
    <t>EP 7</t>
  </si>
  <si>
    <t>미야시타 제1 보도교</t>
  </si>
  <si>
    <t>https://www.google.com/maps/dir/?api=1&amp;destination=35.66145,139.70225</t>
  </si>
  <si>
    <t>https://www.google.com/maps/@35.6614361,139.702142,3a,75y,85.46h,92.4t/data=!3m7!1e1!3m5!1s2EIASsLeOnVkLowBBW_TVg!2e0!6shttps:%2F%2Fstreetviewpixels-pa.googleapis.com%2Fv1%2Fthumbnail%3Fcb_client%3Dmaps_sv.tactile%26w%3D900%26h%3D600%26pitch%3D-2.396828309939295%26panoid%3D2EIASsLeOnVkLowBBW_TVg%26yaw%3D85.45697019188825!7i16384!8i8192?entry=ttu&amp;g_ep=EgoyMDI0MTIxMS4wIKXMDSoASAFQAw%3D%3D</t>
  </si>
  <si>
    <t>LOUVERS OF MIRROR 비토 아콘치</t>
  </si>
  <si>
    <t>https://www.google.com/maps/dir/?api=1&amp;destination=35.6575914,139.696725</t>
  </si>
  <si>
    <t>https://www.google.com/maps/@35.6575914,139.696725,3a,75y,262.46h,94.11t/data=!3m8!1e1!3m6!1sAF1QipNGyCer3UjvghLus3WE-CR5BOWlj4B7WCvVWtiq!2e10!3e11!6shttps:%2F%2Flh5.googleusercontent.com%2Fp%2FAF1QipNGyCer3UjvghLus3WE-CR5BOWlj4B7WCvVWtiq%3Dw203-h100-k-no-pi-0-ya40.55827-ro-0-fo100!7i6000!8i3000?entry=ttu</t>
  </si>
  <si>
    <t>카페 벨로체 시부야역 신난구치점</t>
  </si>
  <si>
    <t>https://www.google.com/maps/dir/?api=1&amp;destination=35.65578,139.70423</t>
  </si>
  <si>
    <t>https://www.google.com/maps/@35.6559383,139.7041321,3a,75y,136.65h,94.85t/data=!3m7!1e1!3m5!1svAQV289-b9IO_Bd3pVLI7w!2e0!5s20210501T000000!7i16384!8i8192?entry=ttu</t>
  </si>
  <si>
    <t>B3F 시부야 히카리에</t>
  </si>
  <si>
    <t>https://www.google.com/maps/dir/?api=1&amp;destination=35.65898,139.70302</t>
  </si>
  <si>
    <t>https://www.google.com/maps/@35.6587801,139.7028365,2a,75y,38.32h,98.91t,0r/data=!3m6!1e1!3m4!1sjOCqqB_ihkMMDWNTkFxrkw!2e0!7i13312!8i6656?entry=ttu</t>
  </si>
  <si>
    <t>https://www.google.com/maps/dir/?api=1&amp;destination=35.67004,139.70269</t>
  </si>
  <si>
    <t>https://www.google.com/maps/@35.6700054,139.7028264,3a,75y,278.65h,96.28t/data=!3m6!1e1!3m4!1s0LbwAxswT3YGIXlZWliD4g!2e0!7i16384!8i8192?entry=ttu</t>
  </si>
  <si>
    <t>미스터 미닛 도쿄 메트로 메이지 ​​진구마에</t>
  </si>
  <si>
    <t>https://www.google.com/maps/dir/?api=1&amp;destination=35.6693,139.70375</t>
  </si>
  <si>
    <t>https://www.google.com/maps/@35.6693397,139.7036829,2a,48.2y,123.99h,89.94t/data=!3m7!1e1!3m5!1syyWIer8-qbYUKLVgddBXWg!2e0!6shttps:%2F%2Fstreetviewpixels-pa.googleapis.com%2Fv1%2Fthumbnail%3Fcb_client%3Dmaps_sv.tactile%26w%3D900%26h%3D600%26pitch%3D0.06139905102581622%26panoid%3DyyWIer8-qbYUKLVgddBXWg%26yaw%3D123.99477483912204!7i13312!8i6656?hl=ko&amp;entry=ttu&amp;g_ep=EgoyMDI0MTIxMS4wIKXMDSoASAFQAw%3D%3D</t>
  </si>
  <si>
    <t>B2F 메이지진구마에〈하라주쿠〉역</t>
  </si>
  <si>
    <t>https://www.google.com/maps/dir/?api=1&amp;destination=35.66917,139.70402</t>
  </si>
  <si>
    <t>https://www.google.com/maps/@35.6691299,139.704111,2a,75y,297.37h,95.02t/data=!3m6!1e1!3m4!1sBWQAM-EbOkz_Asqc7TFO9A!2e0!7i13312!8i6656?entry=ttu</t>
  </si>
  <si>
    <t>B4F 진구마에 교차점 방면 개찰</t>
  </si>
  <si>
    <t>B4F 진구마에 교차점 방면 개찰구</t>
  </si>
  <si>
    <t>https://www.google.com/maps/dir/?api=1&amp;destination=35.6683,139.70536</t>
  </si>
  <si>
    <t>https://www.google.com/maps/@35.6683206,139.7054007,2a,90y,292.97h,93.44t/data=!3m7!1e1!3m5!1sYiXfaN2IYbg0ktPgxFAXcA!2e0!6shttps:%2F%2Fstreetviewpixels-pa.googleapis.com%2Fv1%2Fthumbnail%3Fcb_client%3Dmaps_sv.tactile%26w%3D900%26h%3D600%26pitch%3D-3.4371693462700676%26panoid%3DYiXfaN2IYbg0ktPgxFAXcA%26yaw%3D292.97056058694085!7i13312!8i6656?entry=ttu&amp;g_ep=EgoyMDI0MTIxMS4wIKXMDSoASAFQAw%3D%3D</t>
  </si>
  <si>
    <t>메이지진구마에(하라주쿠)역 도쿄 메트로 부도심선 3·4번선 홈</t>
  </si>
  <si>
    <t>https://www.google.com/maps/dir/?api=1&amp;destination=35.667871,139.7049723</t>
  </si>
  <si>
    <t>https://www.google.com/maps/@35.667871,139.7049723,2a,44.6y,13.67h,87.29t/data=!3m7!1e1!3m5!1sTlRYOUjQcmdZPFKSta5oiA!2e0!6shttps:%2F%2Fstreetviewpixels-pa.googleapis.com%2Fv1%2Fthumbnail%3Fcb_client%3Dmaps_sv.tactile%26w%3D900%26h%3D600%26pitch%3D2.7069942468015995%26panoid%3DTlRYOUjQcmdZPFKSta5oiA%26yaw%3D13.670582527892186!7i13312!8i6656?hl=ko&amp;entry=ttu&amp;g_ep=EgoyMDI0MTIxMS4wIKXMDSoASAFQAw%3D%3D</t>
  </si>
  <si>
    <t>시부야역 도쿄 메트로 후쿠토신선 5·6번선</t>
  </si>
  <si>
    <t>https://www.google.com/maps/dir/?api=1&amp;destination=35.6585834,139.7026089</t>
  </si>
  <si>
    <t>https://www.google.com/maps/@35.6585834,139.7026089,2a,75y,343.02h,99t/data=!3m6!1e1!3m4!1s1hcXqc5zaOuzVQOlmj_yiA!2e0!7i13312!8i6656?entry=ttu</t>
  </si>
  <si>
    <t>EP 10</t>
  </si>
  <si>
    <t>모선</t>
  </si>
  <si>
    <t>마더쉽</t>
  </si>
  <si>
    <t>https://www.google.com/maps/dir/?api=1&amp;destination=35.66934,139.70278</t>
  </si>
  <si>
    <t>https://www.google.com/maps/@35.6694312,139.7028111,3a,90y,5.26h,101.34t/data=!3m7!1e1!3m5!1sK9C7656Jdol4US02WrabiQ!2e0!6shttps:%2F%2Fstreetviewpixels-pa.googleapis.com%2Fv1%2Fthumbnail%3Fpanoid%3DK9C7656Jdol4US02WrabiQ%26cb_client%3Dmaps_sv.tactile.gps%26w%3D203%26h%3D100%26yaw%3D291.6438%26pitch%3D0%26thumbfov%3D100!7i16384!8i8192?coh=205409&amp;entry=ttu</t>
  </si>
  <si>
    <t>패밀리마트 시부야 잇쵸메점</t>
  </si>
  <si>
    <t>https://www.google.com/maps/dir/?api=1&amp;destination=35.6607839,139.7022416</t>
  </si>
  <si>
    <t>https://www.google.com/maps/@35.6607839,139.7022416,3a,75y,267.32h,95.31t/data=!3m7!1e1!3m5!1sCuI9X0rr1uIv1FjuTk4wZQ!2e0!6shttps:%2F%2Fstreetviewpixels-pa.googleapis.com%2Fv1%2Fthumbnail%3Fpanoid%3DCuI9X0rr1uIv1FjuTk4wZQ%26cb_client%3Dmaps_sv.tactile.gps%26w%3D203%26h%3D100%26yaw%3D359.6325%26pitch%3D0%26thumbfov%3D100!7i16384!8i8192?coh=205409&amp;entry=ttu</t>
  </si>
  <si>
    <t>세컨드 스트리트 시부야 신난점</t>
  </si>
  <si>
    <t>https://www.google.com/maps/dir/?api=1&amp;destination=35.6615258,139.7007873</t>
  </si>
  <si>
    <t>https://www.google.com/maps/@35.6615258,139.7007873,3a,75y,134.57h,125.86t/data=!3m7!1e1!3m5!1sM3vuPnGKlItfeEfB4fmKEA!2e0!6shttps:%2F%2Fstreetviewpixels-pa.googleapis.com%2Fv1%2Fthumbnail%3Fpanoid%3DM3vuPnGKlItfeEfB4fmKEA%26cb_client%3Dmaps_sv.tactile.gps%26w%3D203%26h%3D100%26yaw%3D140.62308%26pitch%3D0%26thumbfov%3D100!7i16384!8i8192?coh=205409&amp;entry=ttu</t>
  </si>
  <si>
    <t>시부야 도큐 REI 호텔</t>
  </si>
  <si>
    <t>https://www.google.com/maps/dir/?api=1&amp;destination=35.66025,139.70219</t>
  </si>
  <si>
    <t>https://www.google.com/maps/@35.6604987,139.7022594,3a,90y,231.84h,103.46t/data=!3m6!1e1!3m4!1sblUI-VfiVUXaVvw5WblYuQ!2e0!7i16384!8i8192?coh=205409&amp;entry=ttu</t>
  </si>
  <si>
    <t>시부야 모디</t>
  </si>
  <si>
    <t>https://www.google.com/maps/dir/?api=1&amp;destination=35.6612396,139.7007869</t>
  </si>
  <si>
    <t>https://www.google.com/maps/@35.6612396,139.7007869,3a,75y,305.4h,109.95t/data=!3m6!1e1!3m4!1s_so-4WuHlC93nm6wArTQ3g!2e0!7i16384!8i8192?entry=ttu</t>
  </si>
  <si>
    <t>브릿지 시부야 21</t>
  </si>
  <si>
    <t>https://www.google.com/maps/dir/?api=1&amp;destination=35.65659,139.699</t>
  </si>
  <si>
    <t>https://www.google.com/maps/@35.6567035,139.6990966,3a,90y,32.86h,102.32t/data=!3m7!1e1!3m5!1sf9gz65R6qu_OZhwO34oNdA!2e0!6shttps:%2F%2Fstreetviewpixels-pa.googleapis.com%2Fv1%2Fthumbnail%3Fcb_client%3Dmaps_sv.tactile%26w%3D900%26h%3D600%26pitch%3D-12.32415999436516%26panoid%3Df9gz65R6qu_OZhwO34oNdA%26yaw%3D32.86187915584741!7i16384!8i8192?entry=ttu&amp;g_ep=EgoyMDI0MTIxMS4wIKXMDSoASAFQAw%3D%3D</t>
  </si>
  <si>
    <t>시부야역(버스)</t>
  </si>
  <si>
    <t>https://www.google.com/maps/dir/?api=1&amp;destination=35.6567805,139.6994801</t>
  </si>
  <si>
    <t>https://www.google.com/maps/@35.6567805,139.6994801,3a,75y,79.51h,95.94t/data=!3m6!1e1!3m4!1suAg21anIC_ebReh7UAJKcQ!2e0!7i16384!8i8192?coh=205409&amp;entry=ttu</t>
  </si>
  <si>
    <t>이케코 시부야</t>
  </si>
  <si>
    <t>https://www.google.com/maps/dir/?api=1&amp;destination=35.6594424,139.6954747</t>
  </si>
  <si>
    <t>https://www.google.com/maps/@35.6594424,139.6954747,3a,75y,15.84h,97.38t/data=!3m6!1e1!3m4!1sAwt08dhPiX6ZASSm0EJ_-g!2e0!7i16384!8i8192?coh=205409&amp;entry=ttu</t>
  </si>
  <si>
    <t>도큐 백화점 본점 앞(버스)</t>
  </si>
  <si>
    <t>https://www.google.com/maps/dir/?api=1&amp;destination=35.6601241,139.6957658</t>
  </si>
  <si>
    <t>https://www.google.com/maps/@35.6601241,139.6957658,3a,75y,66.17h,96.76t/data=!3m7!1e1!3m5!1s77-SJH1JhSKWVi9jmPT-Fw!2e0!6shttps:%2F%2Fstreetviewpixels-pa.googleapis.com%2Fv1%2Fthumbnail%3Fpanoid%3D77-SJH1JhSKWVi9jmPT-Fw%26cb_client%3Dmaps_sv.tactile.gps%26w%3D203%26h%3D100%26yaw%3D298.9337%26pitch%3D0%26thumbfov%3D100!7i16384!8i8192?coh=205409&amp;entry=ttu</t>
  </si>
  <si>
    <t>나류 소금 라멘 도큐 본점 앞점</t>
  </si>
  <si>
    <t>오레류 소금 라멘 도큐(백화점) 본점 앞</t>
  </si>
  <si>
    <t>https://www.google.com/maps/dir/?api=1&amp;destination=35.66032,139.69636</t>
  </si>
  <si>
    <t>https://www.google.com/maps/@35.6603298,139.6963393,3a,75y,155.45h,97.16t/data=!3m7!1e1!3m5!1sRmSyiNanfbsTgmKSllJrsw!2e0!5s20210501T000000!7i16384!8i8192?entry=ttu</t>
  </si>
  <si>
    <t>시부야역 동쪽 출구(버스)</t>
  </si>
  <si>
    <t>https://www.google.com/maps/dir/?api=1&amp;destination=35.65834,139.70313</t>
  </si>
  <si>
    <t>https://www.google.com/maps/@35.6584172,139.7030162,3a,75y,108.13h,100.37t/data=!3m7!1e1!3m5!1sJeTEiJkF0aWI6kEnR4GNbQ!2e0!6shttps:%2F%2Fstreetviewpixels-pa.googleapis.com%2Fv1%2Fthumbnail%3Fpanoid%3DJeTEiJkF0aWI6kEnR4GNbQ%26cb_client%3Dmaps_sv.tactile.gps%26w%3D203%26h%3D100%26yaw%3D152.04475%26pitch%3D0%26thumbfov%3D100!7i16384!8i8192?entry=ttu</t>
  </si>
  <si>
    <t>B4F 시부야 히카리에 1 개찰구 부근</t>
  </si>
  <si>
    <t>https://www.google.com/maps/dir/?api=1&amp;destination=35.6591,139.70256</t>
  </si>
  <si>
    <t>https://www.google.com/maps/@35.6590782,139.702489,2a,90y,307.41h,90.17t/data=!3m7!1e1!3m5!1s1T3Ih54qZc0O445h9J5N9g!2e0!6shttps:%2F%2Fstreetviewpixels-pa.googleapis.com%2Fv1%2Fthumbnail%3Fcb_client%3Dmaps_sv.tactile%26w%3D900%26h%3D600%26pitch%3D-0.16514673805042435%26panoid%3D1T3Ih54qZc0O445h9J5N9g%26yaw%3D307.4091449156936!7i13312!8i6656?entry=ttu&amp;g_ep=EgoyMDI0MTIxMS4wIKXMDSoASAFQAw%3D%3D</t>
  </si>
  <si>
    <t>2F 애비뉴 게이트</t>
  </si>
  <si>
    <t>https://www.google.com/maps/dir/?api=1&amp;destination=35.6583124,139.6984803</t>
  </si>
  <si>
    <t>https://www.google.com/maps/@35.6583124,139.6984803,2a,75y,101.47h,96.02t/data=!3m6!1e1!3m4!1sUL82vTRY-LKqcq0ITdMdrw!2e0!7i16384!8i8192?coh=205409&amp;entry=ttu</t>
  </si>
  <si>
    <t>EP 15</t>
  </si>
  <si>
    <t>오카모토 타로 「내일의 신화」</t>
  </si>
  <si>
    <t>https://www.google.com/maps/dir/?api=1&amp;destination=35.6587713,139.7002641</t>
  </si>
  <si>
    <t>https://www.google.com/maps/@35.6588296,139.7001883,2a,49.6y,149.73h,91.02t/data=!3m8!1e1!3m6!1sIZ_c7RZ4cvnJ9FroBHMZig!2e0!3e2!6shttps:%2F%2Fstreetviewpixels-pa.googleapis.com%2Fv1%2Fthumbnail%3Fcb_client%3Dmaps_sv.tactile%26w%3D900%26h%3D600%26pitch%3D-1.0218632213658765%26panoid%3DIZ_c7RZ4cvnJ9FroBHMZig%26yaw%3D149.732813723996!7i16384!8i8192?hl=ko&amp;entry=ttu&amp;g_ep=EgoyMDI0MTIxMS4wIKXMDSoASAFQAw%3D%3D</t>
  </si>
  <si>
    <t>EP 16</t>
  </si>
  <si>
    <t>시부야 프렌즈 동물병원</t>
  </si>
  <si>
    <t>https://www.google.com/maps/dir/?api=1&amp;destination=35.65673,139.7047</t>
  </si>
  <si>
    <t>https://www.google.com/maps/@35.6568189,139.704719,3a,90y,56.37h,92.76t/data=!3m7!1e1!3m5!1stouyxQykzGzVxlYrWkZi_Q!2e0!6shttps:%2F%2Fstreetviewpixels-pa.googleapis.com%2Fv1%2Fthumbnail%3Fpanoid%3DtouyxQykzGzVxlYrWkZi_Q%26cb_client%3Dmaps_sv.tactile.gps%26w%3D203%26h%3D100%26yaw%3D195.92679%26pitch%3D0%26thumbfov%3D100!7i16384!8i8192?coh=205409&amp;entry=ttu</t>
  </si>
  <si>
    <t>RELX 베이프 &amp; 뉴스 스탠드</t>
  </si>
  <si>
    <t>https://www.google.com/maps/dir/?api=1&amp;destination=35.6588,139.70024</t>
  </si>
  <si>
    <t>https://www.google.com/maps/@35.6589024,139.700193,3a,90y,331.51h,101.85t/data=!3m7!1e1!3m5!1sK3sTh0Dsy0u3ybW_X_spSg!2e0!6shttps:%2F%2Fstreetviewpixels-pa.googleapis.com%2Fv1%2Fthumbnail%3Fcb_client%3Dmaps_sv.tactile%26w%3D900%26h%3D600%26pitch%3D-11.848104847280254%26panoid%3DK3sTh0Dsy0u3ybW_X_spSg%26yaw%3D331.51441729854196!7i16384!8i8192?entry=ttu&amp;g_ep=EgoyMDI0MTIxMS4wIKXMDSoASAFQAw%3D%3D</t>
  </si>
  <si>
    <t>스타벅스 커피 시부야 스트림점</t>
  </si>
  <si>
    <t>https://www.google.com/maps/dir/?api=1&amp;destination=35.65746,139.7026</t>
  </si>
  <si>
    <t>https://www.google.com/maps/@35.6575563,139.7026384,2a,75y,177.91h,100.62t/data=!3m6!1e1!3m4!1s0zsc_CxGqoCxDym-hjWEDg!2e0!7i16384!8i8192?entry=ttu</t>
  </si>
  <si>
    <t>패밀리마트 시부야도 겐자카 플라자 거리점</t>
  </si>
  <si>
    <t>https://www.google.com/maps/dir/?api=1&amp;destination=35.6577,139.69965</t>
  </si>
  <si>
    <t>https://www.google.com/maps/@35.6577771,139.6995635,3a,25.3y,136.5h,91.14t/data=!3m6!1e1!3m4!1spEZnt6n6dSDMkUKTfLB9Ew!2e0!7i16384!8i8192?coh=205409&amp;entry=ttu</t>
  </si>
  <si>
    <t>하카타 텐진 시부야 미나미구치점</t>
  </si>
  <si>
    <t>https://www.google.com/maps/dir/?api=1&amp;destination=35.65782,139.6995</t>
  </si>
  <si>
    <t>https://www.google.com/maps/@35.657788,139.6995846,3a,63.5y,305.23h,95.39t/data=!3m7!1e1!3m5!1sYJ626M9EaUzD6SeN2SNZqQ!2e0!6shttps:%2F%2Fstreetviewpixels-pa.googleapis.com%2Fv1%2Fthumbnail%3Fcb_client%3Dmaps_sv.tactile%26w%3D900%26h%3D600%26pitch%3D-5.392962721659174%26panoid%3DYJ626M9EaUzD6SeN2SNZqQ%26yaw%3D305.23300970037405!7i16384!8i8192?entry=ttu&amp;g_ep=EgoyMDI0MTIxMS4wIKXMDSoASAFQAw%3D%3D</t>
  </si>
  <si>
    <t>시부야 요금소</t>
  </si>
  <si>
    <t>https://www.google.com/maps/dir/?api=1&amp;destination=35.6557818,139.6950531</t>
  </si>
  <si>
    <t>https://www.google.com/maps/@35.6557818,139.6950531,3a,90y,232.34h,99.73t/data=!3m7!1e1!3m5!1s1PeopaF2WqZ4oiws9rr7Fg!2e0!6shttps:%2F%2Fstreetviewpixels-pa.googleapis.com%2Fv1%2Fthumbnail%3Fpanoid%3D1PeopaF2WqZ4oiws9rr7Fg%26cb_client%3Dmaps_sv.tactile.gps%26w%3D203%26h%3D100%26yaw%3D239.27235%26pitch%3D0%26thumbfov%3D100!7i16384!8i8192?coh=205409&amp;entry=ttu</t>
  </si>
  <si>
    <t>복권 로트하우스 시부야역 이노카시구치점</t>
  </si>
  <si>
    <t>https://www.google.com/maps/dir/?api=1&amp;destination=35.65904,139.69983</t>
  </si>
  <si>
    <t>https://www.google.com/maps/@35.6591199,139.6997669,3a,90y,129.03h,90.46t/data=!3m7!1e1!3m5!1sQehR0Vx_qqMMu7MAXtIa9g!2e0!6shttps:%2F%2Fstreetviewpixels-pa.googleapis.com%2Fv1%2Fthumbnail%3Fcb_client%3Dmaps_sv.tactile%26w%3D900%26h%3D600%26pitch%3D-0.45658140424474425%26panoid%3DQehR0Vx_qqMMu7MAXtIa9g%26yaw%3D129.02676607002468!7i16384!8i8192?hl=ko&amp;entry=ttu&amp;g_ep=EgoyMDI0MTIxMS4wIKXMDSoASAFQAw%3D%3D</t>
  </si>
  <si>
    <t>시부야 스트림 홀</t>
  </si>
  <si>
    <t>https://www.google.com/maps/dir/?api=1&amp;destination=35.6573109,139.7025406</t>
  </si>
  <si>
    <t>https://www.google.com/maps/@35.6573109,139.7025406,3a,75y,31.21h,121.62t/data=!3m7!1e1!3m5!1saOTyrbBdUQKgiA9Xv_Tp0Q!2e0!6shttps:%2F%2Fstreetviewpixels-pa.googleapis.com%2Fv1%2Fthumbnail%3Fpanoid%3DaOTyrbBdUQKgiA9Xv_Tp0Q%26cb_client%3Dmaps_sv.tactile.gps%26w%3D203%26h%3D100%26yaw%3D112.98657%26pitch%3D0%26thumbfov%3D100!7i16384!8i8192?coh=205409&amp;entry=ttu</t>
  </si>
  <si>
    <t>EP 17</t>
  </si>
  <si>
    <t>약 마츠모토 키요시 SHIBUYA DOGENZAKA FLAG</t>
  </si>
  <si>
    <t>https://www.google.com/maps/dir/?api=1&amp;destination=35.65967,139.69937</t>
  </si>
  <si>
    <t>https://www.google.com/maps/@35.6596047,139.6992882,3a,90y,34.91h,97.73t/data=!3m7!1e1!3m5!1sgtUNzMLuwqZuYSDeJMtb0Q!2e0!6shttps:%2F%2Fstreetviewpixels-pa.googleapis.com%2Fv1%2Fthumbnail%3Fcb_client%3Dmaps_sv.tactile%26w%3D900%26h%3D600%26pitch%3D-7.72722762577402%26panoid%3DgtUNzMLuwqZuYSDeJMtb0Q%26yaw%3D34.909120346688276!7i16384!8i8192?hl=ko&amp;entry=ttu&amp;g_ep=EgoyMDI0MTIxMS4wIKXMDSoASAFQAw%3D%3D</t>
  </si>
  <si>
    <t>시부야 스크램블 교차로</t>
  </si>
  <si>
    <t>https://www.google.com/maps/dir/?api=1&amp;destination=35.65953,139.70049</t>
  </si>
  <si>
    <t>https://www.google.com/maps/@35.6595543,139.7004253,3a,90y,29.13h,120.37t/data=!3m7!1e1!3m5!1sR8mfJBBtsPqvk6QvugtvpQ!2e0!6shttps:%2F%2Fstreetviewpixels-pa.googleapis.com%2Fv1%2Fthumbnail%3Fcb_client%3Dmaps_sv.tactile%26w%3D900%26h%3D600%26pitch%3D-30.367502527696928%26panoid%3DR8mfJBBtsPqvk6QvugtvpQ%26yaw%3D29.125730647667645!7i16384!8i8192?entry=ttu&amp;g_ep=EgoyMDI1MDkzMC4wIKXMDSoASAFQAw%3D%3D</t>
  </si>
  <si>
    <t>패밀리마트 시부야 109앞점</t>
  </si>
  <si>
    <t>https://www.google.com/maps/dir/?api=1&amp;destination=35.65983,139.69878</t>
  </si>
  <si>
    <t>https://www.google.com/maps/@35.6598776,139.6986398,3a,48.7y,116.2h,98.58t/data=!3m7!1e1!3m5!1sA9ULDe_4eHsn_Pw0GbIhtw!2e0!6shttps:%2F%2Fstreetviewpixels-pa.googleapis.com%2Fv1%2Fthumbnail%3Fcb_client%3Dmaps_sv.tactile%26w%3D900%26h%3D600%26pitch%3D-8.580675280034981%26panoid%3DA9ULDe_4eHsn_Pw0GbIhtw%26yaw%3D116.19566346777778!7i16384!8i8192?entry=ttu&amp;g_ep=EgoyMDI0MTIxMS4wIKXMDSoASAFQAw%3D%3D</t>
  </si>
  <si>
    <t>EP 18</t>
  </si>
  <si>
    <t>하치공 개찰</t>
  </si>
  <si>
    <t xml:space="preserve">하치공 개찰구 </t>
  </si>
  <si>
    <t>https://www.google.com/maps/dir/?api=1&amp;destination=35.6595513,139.7002689</t>
  </si>
  <si>
    <t>https://www.google.com/maps/@35.6595472,139.7003921,2a,47.9y,271.12h,89.66t/data=!3m7!1e1!3m5!1stmzoRHTu8-Coaar7fwh99g!2e0!6shttps:%2F%2Fstreetviewpixels-pa.googleapis.com%2Fv1%2Fthumbnail%3Fcb_client%3Dmaps_sv.tactile%26w%3D900%26h%3D600%26pitch%3D0.34363318780906127%26panoid%3DtmzoRHTu8-Coaar7fwh99g%26yaw%3D271.1173473955279!7i13312!8i6656?entry=ttu&amp;g_ep=EgoyMDI0MTIxMS4wIKXMDSoASAFQAw%3D%3D</t>
  </si>
  <si>
    <t>도겐자카 개찰 B2F</t>
  </si>
  <si>
    <t>https://www.google.com/maps/dir/?api=1&amp;destination=35.65949,139.69959</t>
  </si>
  <si>
    <t>https://www.google.com/maps/@35.6594899,139.6996325,2a,90y,68.46h,91.25t/data=!3m7!1e1!3m5!1spwM7DhR3NMgpq3wDCRZhQA!2e0!6shttps:%2F%2Fstreetviewpixels-pa.googleapis.com%2Fv1%2Fthumbnail%3Fcb_client%3Dmaps_sv.tactile%26w%3D900%26h%3D600%26pitch%3D-1.2453547569588892%26panoid%3DpwM7DhR3NMgpq3wDCRZhQA%26yaw%3D68.45863098976902!7i13312!8i6656?entry=ttu&amp;g_ep=EgoyMDI0MTIxMS4wIKXMDSoASAFQAw%3D%3D</t>
  </si>
  <si>
    <t>B4F 미야마스자카히가시 개찰 부근</t>
  </si>
  <si>
    <t>https://www.google.com/maps/dir/?api=1&amp;destination=35.6599949,139.7022886</t>
  </si>
  <si>
    <t>https://www.google.com/maps/@35.6599949,139.7022886,2a,75y,355.99h,92.19t/data=!3m6!1e1!3m4!1sHoI9RjUq8AQr26iB7AZhBA!2e0!7i13312!8i6656?entry=ttu</t>
  </si>
  <si>
    <t>야키니쿠 이미 벌써 시부야 점</t>
  </si>
  <si>
    <t>야키니쿠모우모우쿠우쿠우 시부야점</t>
  </si>
  <si>
    <t>https://www.google.com/maps/dir/?api=1&amp;destination=35.65978,139.69775</t>
  </si>
  <si>
    <t>https://www.google.com/maps/@35.6597892,139.6977585,3a,90y,352.83h,94.83t/data=!3m7!1e1!3m5!1snVj3I4AN8cHHF1e3BmlbuA!2e0!6shttps:%2F%2Fstreetviewpixels-pa.googleapis.com%2Fv1%2Fthumbnail%3Fcb_client%3Dmaps_sv.tactile%26w%3D900%26h%3D600%26pitch%3D-4.829260647969534%26panoid%3DnVj3I4AN8cHHF1e3BmlbuA%26yaw%3D352.82557652003675!7i16384!8i8192?hl=en&amp;entry=ttu&amp;g_ep=EgoyMDI0MTIxMS4wIKXMDSoASAFQAw%3D%3D</t>
  </si>
  <si>
    <t>EP 19</t>
  </si>
  <si>
    <t>스타벅스 커피 시부야 문화 무라도리점</t>
  </si>
  <si>
    <t>https://www.google.com/maps/dir/?api=1&amp;destination=35.66037,139.69666</t>
  </si>
  <si>
    <t>https://www.google.com/maps/@35.6604352,139.6966114,3a,88.1y,167.2h,97.12t/data=!3m7!1e1!3m5!1sd3rwIFictuzQN0LLOBrFSA!2e0!6shttps:%2F%2Fstreetviewpixels-pa.googleapis.com%2Fv1%2Fthumbnail%3Fcb_client%3Dmaps_sv.tactile%26w%3D900%26h%3D600%26pitch%3D-7.119925457176706%26panoid%3Dd3rwIFictuzQN0LLOBrFSA%26yaw%3D167.20442307853054!7i16384!8i8192?hl=ko&amp;entry=ttu&amp;g_ep=EgoyMDI0MTIxMS4wIKXMDSoASAFQAw%3D%3D</t>
  </si>
  <si>
    <t>B1F 분카무라 스트리트 3a번 출구</t>
  </si>
  <si>
    <t>https://www.google.com/maps/dir/?api=1&amp;destination=35.65955,139.6993</t>
  </si>
  <si>
    <t>https://www.google.com/maps/@35.6595295,139.6992941,2a,90y,39.59h,88.12t/data=!3m6!1e1!3m4!1sbUNxEy2N8O5d541iigesmQ!2e0!7i13312!8i6656?coh=205409&amp;entry=ttu</t>
  </si>
  <si>
    <t>유니클로 시부야 도겐자카점</t>
  </si>
  <si>
    <t>https://www.google.com/maps/dir/?api=1&amp;destination=35.6592697,139.6986495</t>
  </si>
  <si>
    <t>https://www.google.com/maps/@35.6592697,139.6986495,3a,70.3y,304.82h,100.09t/data=!3m7!1e1!3m5!1sTp7rrJQZMq6Y19DJ7OiVaw!2e0!6shttps:%2F%2Fstreetviewpixels-pa.googleapis.com%2Fv1%2Fthumbnail%3Fpanoid%3DTp7rrJQZMq6Y19DJ7OiVaw%26cb_client%3Dmaps_sv.tactile.gps%26w%3D203%26h%3D100%26yaw%3D1.4410864%26pitch%3D0%26thumbfov%3D100!7i16384!8i8192?coh=205409&amp;entry=ttu</t>
  </si>
  <si>
    <t>B1F 프라임 출구 1</t>
  </si>
  <si>
    <t>https://www.google.com/maps/dir/?api=1&amp;destination=35.6593367,139.6987315</t>
  </si>
  <si>
    <t>https://www.google.com/maps/@35.6593367,139.6987315,2a,75y,251.46h,95.23t/data=!3m6!1e1!3m4!1sLvweYFFgjI5l0maRgFrdRQ!2e0!7i13312!8i6656?coh=205409&amp;entry=ttu</t>
  </si>
  <si>
    <t>EP 20</t>
  </si>
  <si>
    <t>B2F 문화촌 거리 3a 출구</t>
  </si>
  <si>
    <t>https://www.google.com/maps/dir/?api=1&amp;destination=35.65958,139.69919</t>
  </si>
  <si>
    <t>https://www.google.com/maps/@35.6595574,139.6992326,2a,90y,109.01h,88.13t/data=!3m7!1e1!3m5!1s5R_Lmg12fNBanW3yUkyRsQ!2e0!6shttps:%2F%2Fstreetviewpixels-pa.googleapis.com%2Fv1%2Fthumbnail%3Fcb_client%3Dmaps_sv.tactile%26w%3D900%26h%3D600%26pitch%3D1.8690815295347534%26panoid%3D5R_Lmg12fNBanW3yUkyRsQ%26yaw%3D109.00641848419001!7i13312!8i6656?hl=en&amp;entry=ttu&amp;g_ep=EgoyMDI0MTIxMS4wIKXMDSoASAFQAw%3D%3D</t>
  </si>
  <si>
    <t>시부야역 덴엔토시선 1번선</t>
  </si>
  <si>
    <t>https://www.google.com/maps/dir/?api=1&amp;destination=35.6594507,139.7003243</t>
  </si>
  <si>
    <t>https://www.google.com/maps/@35.6594507,139.7003243,2a,90y,298.23h,96.95t/data=!3m6!1e1!3m4!1sg268_oP8xenjQzS6u3Yv1A!2e0!7i13312!8i6656?coh=205409&amp;entry=ttu</t>
  </si>
  <si>
    <t>EP 21</t>
  </si>
  <si>
    <t>서티원 아이스크림 시부야점</t>
  </si>
  <si>
    <t xml:space="preserve">배스킨 라빈스 시부야점 </t>
  </si>
  <si>
    <t>https://www.google.com/maps/dir/?api=1&amp;destination=35.65977,139.69892</t>
  </si>
  <si>
    <t>https://www.google.com/maps/@35.6597951,139.6988517,3a,62.4y,252.99h,103.15t/data=!3m7!1e1!3m5!1s5lUnwpRMe061JX1bVbhTZA!2e0!6shttps:%2F%2Fstreetviewpixels-pa.googleapis.com%2Fv1%2Fthumbnail%3Fcb_client%3Dmaps_sv.tactile%26w%3D900%26h%3D600%26pitch%3D-13.147294737672226%26panoid%3D5lUnwpRMe061JX1bVbhTZA%26yaw%3D252.9867364908806!7i16384!8i8192?hl=ko&amp;entry=ttu&amp;g_ep=EgoyMDI0MTIxMS4wIKXMDSoASAFQAw%3D%3D</t>
  </si>
  <si>
    <t>EP 22</t>
  </si>
  <si>
    <t>B3F 시골 도시선 홈</t>
  </si>
  <si>
    <t>https://www.google.com/maps/dir/?api=1&amp;destination=35.65946,139.70101</t>
  </si>
  <si>
    <t>https://www.google.com/maps/@35.6595026,139.7010244,2a,90y,226.53h,87.07t/data=!3m7!1e1!3m5!1s7ZIMVMUQ8d95qpOLB8pifw!2e0!6shttps:%2F%2Fstreetviewpixels-pa.googleapis.com%2Fv1%2Fthumbnail%3Fcb_client%3Dmaps_sv.tactile%26w%3D900%26h%3D600%26pitch%3D2.9314378784724937%26panoid%3D7ZIMVMUQ8d95qpOLB8pifw%26yaw%3D226.5257553325035!7i13312!8i6656?entry=ttu&amp;g_ep=EgoyMDI0MTIxMS4wIKXMDSoASAFQAw%3D%3D</t>
  </si>
  <si>
    <t>패밀리마트 긴자기사오마치도오리점</t>
  </si>
  <si>
    <t>https://www.google.com/maps/dir/?api=1&amp;destination=35.66875,139.76761</t>
  </si>
  <si>
    <t>https://www.google.com/maps/@35.6686567,139.7674321,3a,90y,70.46h,101.5t/data=!3m7!1e1!3m5!1st4wJY7Abrzmk-KFiIeiANQ!2e0!6shttps:%2F%2Fstreetviewpixels-pa.googleapis.com%2Fv1%2Fthumbnail%3Fcb_client%3Dmaps_sv.tactile%26w%3D900%26h%3D600%26pitch%3D-11.499992333656053%26panoid%3Dt4wJY7Abrzmk-KFiIeiANQ%26yaw%3D70.46138984292236!7i16384!8i8192?entry=ttu&amp;g_ep=EgoyMDI0MTIxMS4wIKXMDSoASAFQAw%3D%3D</t>
  </si>
  <si>
    <t>이이다바시역</t>
  </si>
  <si>
    <t>https://www.google.com/maps/dir/?api=1&amp;destination=35.70001,139.74356</t>
  </si>
  <si>
    <t>https://www.google.com/maps/@35.7000308,139.7436388,3a,90y,29.49h,104.31t/data=!3m7!1e1!3m5!1sOSbfS89Nv9DGg3I_l9bATQ!2e0!6shttps:%2F%2Fstreetviewpixels-pa.googleapis.com%2Fv1%2Fthumbnail%3Fcb_client%3Dmaps_sv.tactile%26w%3D900%26h%3D600%26pitch%3D-14.313436186444704%26panoid%3DOSbfS89Nv9DGg3I_l9bATQ%26yaw%3D29.487484135128295!7i16384!8i8192?hl=ko&amp;entry=ttu&amp;g_ep=EgoyMDI0MTIxMS4wIKXMDSoASAFQAw%3D%3D</t>
  </si>
  <si>
    <t>불대교</t>
  </si>
  <si>
    <t>https://www.google.com/maps/dir/?api=1&amp;destination=35.66777,139.78114</t>
  </si>
  <si>
    <t>https://www.google.com/maps/@35.6678018,139.7811814,3a,90y,225.56h,100.81t/data=!3m7!1e1!3m5!1s-lbQiqEU_SZKjNIA_0m-vw!2e0!6shttps:%2F%2Fstreetviewpixels-pa.googleapis.com%2Fv1%2Fthumbnail%3Fcb_client%3Dmaps_sv.tactile%26w%3D900%26h%3D600%26pitch%3D-10.813705251670825%26panoid%3D-lbQiqEU_SZKjNIA_0m-vw%26yaw%3D225.55914746450767!7i16384!8i8192?entry=ttu&amp;g_ep=EgoyMDI0MTIxMS4wIKXMDSoASAFQAw%3D%3D</t>
  </si>
  <si>
    <t>신주쿠 산책로 공원(사계의 길)</t>
  </si>
  <si>
    <t>https://www.google.com/maps/dir/?api=1&amp;destination=35.6938266,139.7042314</t>
  </si>
  <si>
    <t>https://www.google.com/maps/place/Four+Seasons+Pathway/@35.6938266,139.7042314,3a,90y,267.01h,98.48t/data=!3m6!1e1!3m4!1sxxwSHcw1M3FQHdrJ3zHXHw!2e0!7i16384!8i8192!4m14!1m7!3m6!1s0x60188d74b7370c09:0x3b9a1dd599c24016!2sFour+Seasons+Pathway!8m2!3d35.6937895!4d139.7042127!16s%2Fg%2F11szfgq9tc!3m5!1s0x60188d74b7370c09:0x3b9a1dd599c24016!8m2!3d35.6937895!4d139.7042127!16s%2Fg%2F11szfgq9tc?entry=ttu</t>
  </si>
  <si>
    <t>신주쿠 피카딜리 부근</t>
  </si>
  <si>
    <t>https://www.google.com/maps/dir/?api=1&amp;destination=35.6927393,139.7047692</t>
  </si>
  <si>
    <t>https://www.google.com/maps/@35.6927393,139.7047692,3a,90y,259.15h,104.45t/data=!3m6!1e1!3m4!1sUSA5GaxApxJCUA7UPqm2Jw!2e0!7i16384!8i8192?entry=ttu</t>
  </si>
  <si>
    <t>가라오케 룸 노래 광장 신주쿠 산쵸메점 부근</t>
  </si>
  <si>
    <t>https://www.google.com/maps/dir/?api=1&amp;destination=35.6925096,139.7056307</t>
  </si>
  <si>
    <t>https://www.google.com/maps/place/Uta-Hiroba+Shinjuku+3-Chome/@35.6925096,139.7056307,3a,90y,119.39h,112.55t/data=!3m6!1e1!3m4!1s4qYMjz-Ud4Pt53ifVLp9nA!2e0!7i16384!8i8192!4m14!1m7!3m6!1s0x60188cdb850ff853:0x6256a5d884c970d7!2sUta-Hiroba+Shinjuku+3-Chome!8m2!3d35.6921613!4d139.7058724!16s%2Fg%2F1tdgptsz!3m5!1s0x60188cdb850ff853:0x6256a5d884c970d7!8m2!3d35.6921613!4d139.7058724!16s%2Fg%2F1tdgptsz?entry=ttu</t>
  </si>
  <si>
    <t>쿠가야마역</t>
  </si>
  <si>
    <t>https://www.google.com/maps/dir/?api=1&amp;destination=35.6883648,139.5989436</t>
  </si>
  <si>
    <t>https://www.google.com/maps/@35.6883648,139.5989436,2a,75y,308.07h,91.76t/data=!3m6!1e1!3m4!1sYU4mZ696f7Lc_ra37JMfrg!2e0!7i13312!8i6656?entry=ttu</t>
  </si>
  <si>
    <t>니혼바시(일본교)</t>
  </si>
  <si>
    <t>https://www.google.com/maps/dir/?api=1&amp;destination=35.684056,139.774598</t>
  </si>
  <si>
    <t>https://www.google.com/maps/@35.6840609,139.7745372,3a,90y,98.32h,90.28t/data=!3m7!1e1!3m5!1sqOM8ot5Qg1bX_ZK0buMX7w!2e0!5s20220901T000000!7i16384!8i8192?entry=ttu</t>
  </si>
  <si>
    <t>메이테츠 협상 주차 시부야 제12요요기 1초메 주륜장</t>
  </si>
  <si>
    <t>https://www.google.com/maps/dir/?api=1&amp;destination=35.680292,139.702453</t>
  </si>
  <si>
    <t>https://maps.app.goo.gl/53Ca7rBFYpQCLjAJA</t>
  </si>
  <si>
    <t>비플랫 커뮤니티 파크 우다가와초 주차장</t>
  </si>
  <si>
    <t>https://www.google.com/maps/dir/?api=1&amp;destination=35.661576,139.6967404</t>
  </si>
  <si>
    <t>https://www.google.com/maps/@35.661576,139.6967404,3a,75y,171.61h,82.16t/data=!3m6!1e1!3m4!1sYOvCnosJ9O-vD58a0mCJNw!2e0!7i16384!8i8192?entry=ttu</t>
  </si>
  <si>
    <t>아라카와 나카스 남단</t>
  </si>
  <si>
    <t>https://www.google.com/maps/dir/?api=1&amp;destination=35.6619552,139.8488244</t>
  </si>
  <si>
    <t>https://www.google.com/maps/@35.6619552,139.8488244,3a,75y,153.81h,101.03t/data=!3m6!1e1!3m4!1sAF1QipNeSezvaCojS8XvVULRVG-mCIJ8jaiRwiH9CKr7!2e10!7i5376!8i2688?entry=ttu</t>
  </si>
  <si>
    <t>BOAT RACE 타마가와(타마가와 보트레이스장)</t>
  </si>
  <si>
    <t>https://www.google.com/maps/dir/?api=1&amp;destination=35.6579,139.4962</t>
  </si>
  <si>
    <t>https://www.google.com/maps/@35.6580556,139.4969444,3a,40.7y,95.05h,77.81t/data=!3m8!1e1!3m6!1sAF1QipMP597WlKJZtH18JtECwjRqte386duMm_kih6fc!2e10!3e11!6shttps:%2F%2Flh5.googleusercontent.com%2Fp%2FAF1QipMP597WlKJZtH18JtECwjRqte386duMm_kih6fc%3Dw203-h100-k-no-pi0-ya128.09534-ro0-fo100!7i14400!8i7200?entry=ttu</t>
  </si>
  <si>
    <t>쿠와미 스토어</t>
  </si>
  <si>
    <t xml:space="preserve">쿠와미 상점 </t>
  </si>
  <si>
    <t>https://www.google.com/maps/dir/?api=1&amp;destination=35.6580315,139.4995855</t>
  </si>
  <si>
    <t>https://www.google.com/maps/@35.6580782,139.4995708,3a,90y,93.08h,97.16t/data=!3m7!1e1!3m5!1sWU-A6Wz7rdy4DXRKuMua2Q!2e0!6shttps:%2F%2Fstreetviewpixels-pa.googleapis.com%2Fv1%2Fthumbnail%3Fcb_client%3Dmaps_sv.tactile%26w%3D900%26h%3D600%26pitch%3D-7.157034776019103%26panoid%3DWU-A6Wz7rdy4DXRKuMua2Q%26yaw%3D93.08385526321408!7i16384!8i8192?entry=ttu&amp;g_ep=EgoyMDI0MTIxMS4wIKXMDSoASAFQAw%3D%3D</t>
  </si>
  <si>
    <t>JR 신주쿠역 히가시구치역 앞 광장</t>
  </si>
  <si>
    <t>https://www.google.com/maps/dir/?api=1&amp;destination=35.69227,139.7009</t>
  </si>
  <si>
    <t>https://www.google.com/maps/@35.6922656,139.7009368,3a,90y,272.57h,93.77t/data=!3m7!1e1!3m5!1s0Ad3f4Fb5jBxRQu_BRIqDg!2e0!6shttps:%2F%2Fstreetviewpixels-pa.googleapis.com%2Fv1%2Fthumbnail%3Fcb_client%3Dmaps_sv.tactile%26w%3D900%26h%3D600%26pitch%3D-3.7695916271847665%26panoid%3D0Ad3f4Fb5jBxRQu_BRIqDg%26yaw%3D272.57420771694626!7i16384!8i8192?entry=ttu&amp;g_ep=EgoyMDI0MTIxMS4wIKXMDSoASAFQAw%3D%3D</t>
  </si>
  <si>
    <t>켄터키 프라이드 치킨 신주쿠 니시구치점</t>
  </si>
  <si>
    <t>KFC프라이드치킨신주쿠니시구치점</t>
  </si>
  <si>
    <t>https://www.google.com/maps/dir/?api=1&amp;destination=35.69297,139.69934</t>
  </si>
  <si>
    <t>https://www.google.com/maps/@35.6930034,139.699184,3a,75y,86.81h,91.49t/data=!3m7!1e1!3m5!1s0Ydes7DZoHy3ukpYTN5PIw!2e0!6shttps:%2F%2Fstreetviewpixels-pa.googleapis.com%2Fv1%2Fthumbnail%3Fpanoid%3D0Ydes7DZoHy3ukpYTN5PIw%26cb_client%3Dmaps_sv.tactile.gps%26w%3D203%26h%3D100%26yaw%3D195.4453%26pitch%3D0%26thumbfov%3D100!7i16384!8i8192?entry=ttu</t>
  </si>
  <si>
    <t>날씨의아이</t>
  </si>
  <si>
    <t>JR 도쿄 종합 병원</t>
  </si>
  <si>
    <t>https://www.google.com/maps/dir/?api=1&amp;destination=35.6863148,139.700035</t>
  </si>
  <si>
    <t>https://www.google.com/maps/@35.6863148,139.700035,3a,90y,211.83h,106.13t/data=!3m7!1e1!3m5!1sw2rXwAl5zKYiytV5B5TfBw!2e0!6shttps:%2F%2Fstreetviewpixels-pa.googleapis.com%2Fv1%2Fthumbnail%3Fpanoid%3Dw2rXwAl5zKYiytV5B5TfBw%26cb_client%3Dmaps_sv.tactile.gps%26w%3D203%26h%3D100%26yaw%3D321.33334%26pitch%3D0%26thumbfov%3D100!7i16384!8i8192?entry=ttu</t>
  </si>
  <si>
    <t>C:\py_temp\final_project\animepilgrimage-天気の子\2026-01-13-18-24-30-animepilgrimage-天気の子.csv</t>
  </si>
  <si>
    <t>2026-01-13-18-24-30-animepilgrimage-天気の子.csv</t>
  </si>
  <si>
    <t>푸티델릴륨 탭 카페 신주쿠점</t>
  </si>
  <si>
    <t>https://www.google.com/maps/dir/?api=1&amp;destination=35.6860196,139.7003708</t>
  </si>
  <si>
    <t>https://www.google.com/maps/@35.6860196,139.7003708,3a,48.7y,144.08h,95.43t/data=!3m6!1e1!3m4!1s3tzyYacJNHjjulTDefkZgg!2e0!7i16384!8i8192?entry=ttu</t>
  </si>
  <si>
    <t>세븐일레븐 요요기역 북쪽 출구점</t>
  </si>
  <si>
    <t>https://www.google.com/maps/dir/?api=1&amp;destination=35.684648,139.7013154</t>
  </si>
  <si>
    <t>https://www.google.com/maps/@35.684648,139.7013154,3a,48.8y,170.24h,97.61t/data=!3m6!1e1!3m4!1snbhRnrr6InXFnx_TbrQ_5Q!2e0!7i16384!8i8192?entry=ttu</t>
  </si>
  <si>
    <t>로손 쿠오루 요요기 에키마에점</t>
  </si>
  <si>
    <t>https://www.google.com/maps/dir/?api=1&amp;destination=35.68344,139.70167</t>
  </si>
  <si>
    <t>https://www.google.com/maps/@35.6834448,139.7016328,3a,90y,110.82h,125.55t/data=!3m7!1e1!3m5!1sBhK_ujgp8WF9d27fWs4wjg!2e0!6shttps:%2F%2Fstreetviewpixels-pa.googleapis.com%2Fv1%2Fthumbnail%3Fcb_client%3Dmaps_sv.tactile%26w%3D900%26h%3D600%26pitch%3D-35.54782268312563%26panoid%3DBhK_ujgp8WF9d27fWs4wjg%26yaw%3D110.81873806455411!7i16384!8i8192?entry=ttu&amp;g_ep=EgoyMDI1MDIwOS4wIKXMDSoASAFQAw%3D%3D</t>
  </si>
  <si>
    <t>다케시바 여객선 터미널</t>
  </si>
  <si>
    <t>https://www.google.com/maps/dir/?api=1&amp;destination=35.6544304,139.7631092</t>
  </si>
  <si>
    <t>https://www.google.com/maps/@35.6544304,139.7631092,3a,75y,308.43h,97.47t/data=!3m6!1e1!3m4!1sCAWkp-XGW2HT-cCDf1u9-g!2e0!7i16384!8i8192?entry=ttu</t>
  </si>
  <si>
    <t>가부키초 사쿠라 거리</t>
  </si>
  <si>
    <t>https://www.google.com/maps/dir/?api=1&amp;destination=35.69354,139.70234</t>
  </si>
  <si>
    <t>https://www.google.com/maps/@35.6934691,139.7023074,3a,90y,20.93h,95.73t/data=!3m7!1e1!3m5!1s_Ry8GA592nzFsRNzWR5Duw!2e0!6shttps:%2F%2Fstreetviewpixels-pa.googleapis.com%2Fv1%2Fthumbnail%3Fcb_client%3Dmaps_sv.tactile%26w%3D900%26h%3D600%26pitch%3D-5.725792698287194%26panoid%3D_Ry8GA592nzFsRNzWR5Duw%26yaw%3D20.925257092138363!7i16384!8i8192?entry=ttu&amp;g_ep=EgoyMDI1MDIwOS4wIKXMDSoASAFQAw%3D%3D</t>
  </si>
  <si>
    <t>미쓰비시 UFJ 은행 ATM 코너 신주쿠역 동쪽 출구</t>
  </si>
  <si>
    <t>https://www.google.com/maps/dir/?api=1&amp;destination=35.6910143,139.7012357</t>
  </si>
  <si>
    <t>https://www.google.com/maps/@35.6910143,139.7012357,2a,75y,39.82h,92.14t/data=!3m6!1e1!3m4!1s6XHO5eEWOZrSfYqcwWphLQ!2e0!7i13312!8i6656?entry=ttu</t>
  </si>
  <si>
    <t>가부키초 이치반가이 아치</t>
  </si>
  <si>
    <t>https://www.google.com/maps/dir/?api=1&amp;destination=35.69401,139.70107</t>
  </si>
  <si>
    <t>https://www.google.com/maps/@35.6945004,139.7012547,3a,75y,199.07h,98.92t/data=!3m7!1e1!3m5!1sourSI3_SoIh829_0n3Yo5A!2e0!6shttps:%2F%2Fstreetviewpixels-pa.googleapis.com%2Fv1%2Fthumbnail%3Fcb_client%3Dmaps_sv.tactile%26w%3D900%26h%3D600%26pitch%3D-8.918661677010746%26panoid%3DourSI3_SoIh829_0n3Yo5A%26yaw%3D199.07163424889325!7i16384!8i8192?entry=ttu&amp;g_ep=EgoyMDI1MDIwOS4wIKXMDSoASAFQAw%3D%3D</t>
  </si>
  <si>
    <t>와카사야 가부키초점</t>
  </si>
  <si>
    <t>https://www.google.com/maps/dir/?api=1&amp;destination=35.6943706,139.7017668</t>
  </si>
  <si>
    <t>https://www.google.com/maps/@35.6943706,139.7017668,3a,75y,66.5h,90t/data=!3m7!1e1!3m5!1sY6hf1ntgSf9kvxuYi8jKuw!2e0!6shttps:%2F%2Fstreetviewpixels-pa.googleapis.com%2Fv1%2Fthumbnail%3Fcb_client%3Dmaps_sv.tactile%26w%3D900%26h%3D600%26pitch%3D0%26panoid%3DY6hf1ntgSf9kvxuYi8jKuw%26yaw%3D66.50104440486939!7i16384!8i8192?coh=205410&amp;entry=ttu&amp;g_ep=EgoyMDI0MTAwOS4wIKXMDSoASAFQAw%3D%3D</t>
  </si>
  <si>
    <t>패밀리마트 신주쿠 가부키초 이치반가점</t>
  </si>
  <si>
    <t>https://www.google.com/maps/dir/?api=1&amp;destination=35.69468,139.70131</t>
  </si>
  <si>
    <t>https://www.google.com/maps/@35.6946389,139.7013187,3a,47.9y,16.24h,102.28t/data=!3m7!1e1!3m5!1srLcl2tTUyw3WAky9_NZBlg!2e0!6shttps:%2F%2Fstreetviewpixels-pa.googleapis.com%2Fv1%2Fthumbnail%3Fcb_client%3Dmaps_sv.tactile%26w%3D900%26h%3D600%26pitch%3D-12.282587116539517%26panoid%3DrLcl2tTUyw3WAky9_NZBlg%26yaw%3D16.243705709012033!7i16384!8i8192?entry=ttu&amp;g_ep=EgoyMDI1MDIwOS4wIKXMDSoASAFQAw%3D%3D</t>
  </si>
  <si>
    <t>시네 시티 광장</t>
  </si>
  <si>
    <t>https://www.google.com/maps/dir/?api=1&amp;destination=35.695402,139.7015227</t>
  </si>
  <si>
    <t>https://www.google.com/maps/@35.695402,139.7015227,3a,75y,66.72h,98.85t/data=!3m7!1e1!3m5!1sFhAVoTSOAJIvTHL40-n8Eg!2e0!6shttps:%2F%2Fstreetviewpixels-pa.googleapis.com%2Fv1%2Fthumbnail%3Fpanoid%3DFhAVoTSOAJIvTHL40-n8Eg%26cb_client%3Dmaps_sv.tactile.gps%26w%3D203%26h%3D100%26yaw%3D357.9764%26pitch%3D0%26thumbfov%3D100!7i16384!8i8192?entry=ttu</t>
  </si>
  <si>
    <t>아타미빌</t>
  </si>
  <si>
    <t>아타미빌딩</t>
  </si>
  <si>
    <t>https://www.google.com/maps/dir/?api=1&amp;destination=35.6960562,139.7030571</t>
  </si>
  <si>
    <t>https://www.google.com/maps/@35.6960562,139.7030571,3a,75y,159.8h,97.43t/data=!3m6!1e1!3m4!1srg8T3IVVLv3GsGIuAZhhFg!2e0!7i16384!8i8192?entry=ttu</t>
  </si>
  <si>
    <t>맥도날드 세이부 신주쿠역 앞점</t>
  </si>
  <si>
    <t>https://www.google.com/maps/dir/?api=1&amp;destination=35.6938851,139.7005534</t>
  </si>
  <si>
    <t>https://www.google.com/maps/@35.6938851,139.7005534,3a,39.2y,17.9h,98.73t/data=!3m6!1e1!3m4!1sQSwrcS5KVMAFuT7zMsWQRQ!2e0!7i16384!8i8192?entry=ttu</t>
  </si>
  <si>
    <t>사카젠 신주쿠점</t>
  </si>
  <si>
    <t>https://www.google.com/maps/dir/?api=1&amp;destination=35.69185,139.70828</t>
  </si>
  <si>
    <t>https://www.google.com/maps/@35.6918476,139.7083469,3a,90y,261.27h,96.28t/data=!3m7!1e1!3m5!1s6i1NitTY4XY55V63bmSGpw!2e0!6shttps:%2F%2Fstreetviewpixels-pa.googleapis.com%2Fv1%2Fthumbnail%3Fcb_client%3Dmaps_sv.tactile%26w%3D900%26h%3D600%26pitch%3D-6.284782600610271%26panoid%3D6i1NitTY4XY55V63bmSGpw%26yaw%3D261.2738341612368!7i16384!8i8192?entry=ttu&amp;g_ep=EgoyMDI1MDIwOS4wIKXMDSoASAFQAw%3D%3D</t>
  </si>
  <si>
    <t>슈차오</t>
  </si>
  <si>
    <t>아케모노바시시</t>
  </si>
  <si>
    <t>https://www.google.com/maps/dir/?api=1&amp;destination=35.6925636,139.7217378</t>
  </si>
  <si>
    <t>https://www.google.com/maps/@35.6925636,139.7217378,3a,90y,144.64h,97.79t/data=!3m7!1e1!3m5!1sRNzKpwcQ0vUFDXfCQQXRuQ!2e0!6shttps:%2F%2Fstreetviewpixels-pa.googleapis.com%2Fv1%2Fthumbnail%3Fpanoid%3DRNzKpwcQ0vUFDXfCQQXRuQ%26cb_client%3Dmaps_sv.tactile.gps%26w%3D203%26h%3D100%26yaw%3D137.00308%26pitch%3D0%26thumbfov%3D100!7i16384!8i8192?entry=ttu</t>
  </si>
  <si>
    <t>갤러리 비탈</t>
  </si>
  <si>
    <t>갤러리 언덕길</t>
  </si>
  <si>
    <t>https://www.google.com/maps/dir/?api=1&amp;destination=35.7055335,139.7354207</t>
  </si>
  <si>
    <t>https://www.google.com/maps/@35.7055335,139.7354207,3a,75y,165.6h,100.74t/data=!3m6!1e1!3m4!1skakC6UBipqLw3pCBJ1pErw!2e0!7i16384!8i8192?entry=ttu</t>
  </si>
  <si>
    <t>GU 오카치마치점</t>
  </si>
  <si>
    <t>https://www.google.com/maps/dir/?api=1&amp;destination=35.7077029,139.7745669</t>
  </si>
  <si>
    <t>https://www.google.com/maps/@35.7077029,139.7745669,3a,75y,9.55h,101.69t/data=!3m6!1e1!3m4!1sNW7JVjuJ2UJwWPOJ5P65eA!2e0!7i16384!8i8192?entry=ttu</t>
  </si>
  <si>
    <t>야칸 신사</t>
  </si>
  <si>
    <t>https://www.google.com/maps/dir/?api=1&amp;destination=35.6692041,139.7603117</t>
  </si>
  <si>
    <t>https://www.google.com/maps/@35.6692041,139.7603117,3a,75y,285.97h,95.35t/data=!3m7!1e1!3m5!1sorxAE1ILExU5FiM4Al0SxA!2e0!6shttps:%2F%2Fstreetviewpixels-pa.googleapis.com%2Fv1%2Fthumbnail%3Fpanoid%3DorxAE1ILExU5FiM4Al0SxA%26cb_client%3Dmaps_sv.tactile.gps%26w%3D203%26h%3D100%26yaw%3D146.74767%26pitch%3D0%26thumbfov%3D100!7i16384!8i8192?entry=ttu</t>
  </si>
  <si>
    <t>에치나카지마 공원</t>
  </si>
  <si>
    <t>https://www.google.com/maps/dir/?api=1&amp;destination=35.67169,139.78824</t>
  </si>
  <si>
    <t>https://www.google.com/maps/@35.6717218,139.788308,3a,90y,300.13h,100.68t/data=!3m7!1e1!3m5!1sAF1QipM3DvSW2OSfdEsIhdqFN82qhviUPR0RfKx_3tNK!2e10!6shttps:%2F%2Flh3.googleusercontent.com%2Fp%2FAF1QipM3DvSW2OSfdEsIhdqFN82qhviUPR0RfKx_3tNK%3Dw900-h600-k-no-pi-10.6842965040384-ya310.6171230594064-ro0-fo100!7i5376!8i2688?entry=ttu&amp;g_ep=EgoyMDI1MDIwOS4wIKXMDSoASAFQAw%3D%3D</t>
  </si>
  <si>
    <t>국립경기장</t>
  </si>
  <si>
    <t>https://www.google.com/maps/dir/?api=1&amp;destination=35.67965,139.71546</t>
  </si>
  <si>
    <t>https://www.google.com/maps/@35.6796281,139.7155479,3a,90y,206.47h,100.78t/data=!3m7!1e1!3m5!1su9nQZjrlncWh47ySvfN1Cg!2e0!6shttps:%2F%2Fstreetviewpixels-pa.googleapis.com%2Fv1%2Fthumbnail%3Fcb_client%3Dmaps_sv.tactile%26w%3D900%26h%3D600%26pitch%3D-10.7769824640841%26panoid%3Du9nQZjrlncWh47ySvfN1Cg%26yaw%3D206.47025156191185!7i16384!8i8192?entry=ttu&amp;g_ep=EgoyMDI1MDIwOS4wIKXMDSoASAFQAw%3D%3D</t>
  </si>
  <si>
    <t>신 수</t>
  </si>
  <si>
    <t>https://www.google.com/maps/dir/?api=1&amp;destination=35.69502,139.70387</t>
  </si>
  <si>
    <t>https://www.google.com/maps/@35.6950865,139.7037326,3a,75y,130.35h,100.22t/data=!3m6!1e1!3m4!1sFyi0meXAvxYL2QDsQ3G3mA!2e0!7i16384!8i8192?entry=ttu</t>
  </si>
  <si>
    <t>호텔 labio</t>
  </si>
  <si>
    <t>https://www.google.com/maps/dir/?api=1&amp;destination=35.69605,139.70286</t>
  </si>
  <si>
    <t>https://www.google.com/maps/@35.6960726,139.7029033,3a,90y,166.6h,91.93t/data=!3m7!1e1!3m5!1sbH8m6oA9JAV6X4GSwfPsog!2e0!6shttps:%2F%2Fstreetviewpixels-pa.googleapis.com%2Fv1%2Fthumbnail%3Fcb_client%3Dmaps_sv.tactile%26w%3D900%26h%3D600%26pitch%3D-1.9320168999337568%26panoid%3DbH8m6oA9JAV6X4GSwfPsog%26yaw%3D166.60277399041018!7i16384!8i8192?entry=ttu&amp;g_ep=EgoyMDI1MDIwOS4wIKXMDSoASAFQAw%3D%3D</t>
  </si>
  <si>
    <t>에코로 파크 가부키초 20</t>
  </si>
  <si>
    <t>https://www.google.com/maps/dir/?api=1&amp;destination=35.6953868,139.7056268</t>
  </si>
  <si>
    <t>https://www.google.com/maps/@35.6953868,139.7056268,3a,90y,280.09h,94.44t/data=!3m7!1e1!3m5!1swiRKdb4-fCUXeb4qFzy3EQ!2e0!6shttps:%2F%2Fstreetviewpixels-pa.googleapis.com%2Fv1%2Fthumbnail%3Fpanoid%3DwiRKdb4-fCUXeb4qFzy3EQ%26cb_client%3Dmaps_sv.tactile.gps%26w%3D203%26h%3D100%26yaw%3D185.78046%26pitch%3D0%26thumbfov%3D100!7i16384!8i8192?entry=ttu</t>
  </si>
  <si>
    <t>소피아 빌딩 3</t>
  </si>
  <si>
    <t>https://www.google.com/maps/dir/?api=1&amp;destination=35.6949003,139.7055394</t>
  </si>
  <si>
    <t>https://www.google.com/maps/@35.6949003,139.7055394,3a,90y,352.98h,96.58t/data=!3m6!1e1!3m4!1sWVJdU0l0RHs3QXTly0iOpw!2e0!7i16384!8i8192?entry=ttu</t>
  </si>
  <si>
    <t>호텔 세리오</t>
  </si>
  <si>
    <t>https://www.google.com/maps/dir/?api=1&amp;destination=35.6971044,139.705987</t>
  </si>
  <si>
    <t>https://www.google.com/maps/@35.6971044,139.705987,3a,90y,332.66h,81.76t/data=!3m6!1e1!3m4!1scbS6DbKXBWYXt1e_jaNxjA!2e0!7i16384!8i8192?entry=ttu</t>
  </si>
  <si>
    <t>긴자 미츠코시</t>
  </si>
  <si>
    <t>https://www.google.com/maps/dir/?api=1&amp;destination=35.67136,139.76546</t>
  </si>
  <si>
    <t>https://www.google.com/maps/@35.6713047,139.7652062,3a,90y,282.44h,132.16t/data=!3m7!1e1!3m5!1sw_q9_MeqciqYrZNxS817-g!2e0!6shttps:%2F%2Fstreetviewpixels-pa.googleapis.com%2Fv1%2Fthumbnail%3Fcb_client%3Dmaps_sv.tactile%26w%3D900%26h%3D600%26pitch%3D-42.16299200152204%26panoid%3Dw_q9_MeqciqYrZNxS817-g%26yaw%3D282.4421036748827!7i16384!8i8192?entry=ttu&amp;g_ep=EgoyMDI1MDIwOS4wIKXMDSoASAFQAw%3D%3D</t>
  </si>
  <si>
    <t>오다이바 해변 공원의 전망 데크</t>
  </si>
  <si>
    <t>오다이바 해변 공원의전망대용 바닥</t>
  </si>
  <si>
    <t>https://www.google.com/maps/dir/?api=1&amp;destination=35.6274605,139.7715434</t>
  </si>
  <si>
    <t>https://www.google.com/maps/@35.6274605,139.7715434,3a,75y,323.82h,93.02t/data=!3m7!1e1!3m5!1slWj2SFddZQfeE-0gthv2Ag!2e0!6shttps:%2F%2Fstreetviewpixels-pa.googleapis.com%2Fv1%2Fthumbnail%3Fpanoid%3DlWj2SFddZQfeE-0gthv2Ag%26cb_client%3Dmaps_sv.tactile.gps%26w%3D203%26h%3D100%26yaw%3D155.00797%26pitch%3D0%26thumbfov%3D100!7i16384!8i8192?entry=ttu</t>
  </si>
  <si>
    <t>도쿄텔레포트역</t>
  </si>
  <si>
    <t>https://www.google.com/maps/dir/?api=1&amp;destination=35.6270931,139.7795285</t>
  </si>
  <si>
    <t>https://www.google.com/maps/@35.6270931,139.7795285,3a,90y,359.01h,113.11t/data=!3m7!1e1!3m5!1seXDl_1BPtgiMG86slq6wrQ!2e0!6shttps:%2F%2Fstreetviewpixels-pa.googleapis.com%2Fv1%2Fthumbnail%3Fpanoid%3DeXDl_1BPtgiMG86slq6wrQ%26cb_client%3Dmaps_sv.tactile.gps%26w%3D203%26h%3D100%26yaw%3D53.998035%26pitch%3D0%26thumbfov%3D100!7i13312!8i6656?entry=ttu</t>
  </si>
  <si>
    <t>영대교</t>
  </si>
  <si>
    <t>에이타이바시시</t>
  </si>
  <si>
    <t>https://www.google.com/maps/dir/?api=1&amp;destination=35.67637,139.78726</t>
  </si>
  <si>
    <t>https://www.google.com/maps/@35.6763413,139.7872344,3a,48.7y,29.76h,98.35t/data=!3m7!1e1!3m5!1s_NcZkYZTgIxFUAe4VIZ6DA!2e0!6shttps:%2F%2Fstreetviewpixels-pa.googleapis.com%2Fv1%2Fthumbnail%3Fcb_client%3Dmaps_sv.tactile%26w%3D900%26h%3D600%26pitch%3D-8.346708623190366%26panoid%3D_NcZkYZTgIxFUAe4VIZ6DA%26yaw%3D29.756395382561145!7i16384!8i8192?entry=ttu&amp;g_ep=EgoyMDI1MDIwOS4wIKXMDSoASAFQAw%3D%3D</t>
  </si>
  <si>
    <t>스미다가와 테라스</t>
  </si>
  <si>
    <t>https://www.google.com/maps/dir/?api=1&amp;destination=35.67806,139.78729</t>
  </si>
  <si>
    <t>https://www.google.com/maps/@35.6778448,139.7871604,3a,90y,150.54h,102.1t/data=!3m7!1e1!3m5!1sAF1QipOSpb_BklDrYR5uVjgFcPI9-lK2dIkZQdXXP6QS!2e10!6shttps:%2F%2Flh3.googleusercontent.com%2Fp%2FAF1QipOSpb_BklDrYR5uVjgFcPI9-lK2dIkZQdXXP6QS%3Dw900-h600-k-no-pi-12.098056341420346-ya23.361338703459495-ro0-fo100!7i6720!8i3360?entry=ttu&amp;g_ep=EgoyMDI1MDIwOS4wIKXMDSoASAFQAw%3D%3D</t>
  </si>
  <si>
    <t>https://www.google.com/maps/dir/?api=1&amp;destination=35.6595,139.70059</t>
  </si>
  <si>
    <t>https://www.google.com/maps/@35.6594137,139.7005955,3a,75y,27.09h,98.96t/data=!3m7!1e1!3m5!1snLvWqMGAqrC6MoJ_GoAAcQ!2e0!6shttps:%2F%2Fstreetviewpixels-pa.googleapis.com%2Fv1%2Fthumbnail%3Fcb_client%3Dmaps_sv.tactile%26w%3D900%26h%3D600%26pitch%3D-8.961184197271862%26panoid%3DnLvWqMGAqrC6MoJ_GoAAcQ%26yaw%3D27.09163485732913!7i16384!8i8192?entry=ttu&amp;g_ep=EgoyMDI1MDIwOS4wIKXMDSoASAFQAw%3D%3D</t>
  </si>
  <si>
    <t>초지 광장(베이스 캠프 용지)</t>
  </si>
  <si>
    <t>https://www.google.com/maps/dir/?api=1&amp;destination=35.63331,139.79565</t>
  </si>
  <si>
    <t>https://www.google.com/maps/@35.6329404,139.7962398,3a,90y,206.08h,102.61t/data=!3m7!1e1!3m5!1sNsaDRVihpFho_jXKiW2gRA!2e0!6shttps:%2F%2Fstreetviewpixels-pa.googleapis.com%2Fv1%2Fthumbnail%3Fcb_client%3Dmaps_sv.tactile%26w%3D900%26h%3D600%26pitch%3D-12.613792746796761%26panoid%3DNsaDRVihpFho_jXKiW2gRA%26yaw%3D206.08131983305725!7i16384!8i8192?entry=ttu&amp;g_ep=EgoyMDI1MDIwOS4wIKXMDSoASAFQAw%3D%3D</t>
  </si>
  <si>
    <t>가미나리몬</t>
  </si>
  <si>
    <t>카미나리몬</t>
  </si>
  <si>
    <t>https://www.google.com/maps/dir/?api=1&amp;destination=35.7109323,139.7963119</t>
  </si>
  <si>
    <t>https://www.google.com/maps/@35.7109323,139.7963119,3a,75y,6.26h,95.53t/data=!3m7!1e1!3m5!1svxNO5RgWRyh3zbrXaZd1hQ!2e0!6shttps:%2F%2Fstreetviewpixels-pa.googleapis.com%2Fv1%2Fthumbnail%3Fpanoid%3DvxNO5RgWRyh3zbrXaZd1hQ%26cb_client%3Dmaps_sv.tactile.gps%26w%3D203%26h%3D100%26yaw%3D113.91979%26pitch%3D0%26thumbfov%3D100!7i16384!8i8192?entry=ttu</t>
  </si>
  <si>
    <t>https://www.google.com/maps/dir/?api=1&amp;destination=35.6604038,139.7292383</t>
  </si>
  <si>
    <t>https://www.google.com/maps/@35.6604038,139.7292383,2a,75y,20.97h,101.66t/data=!3m6!1e1!3m4!1s76aow7J_ycOTzysXf_7ivg!2e0!7i13312!8i6656?entry=ttu</t>
  </si>
  <si>
    <t>니시신주쿠 프라임 스퀘어</t>
  </si>
  <si>
    <t>https://www.google.com/maps/dir/?api=1&amp;destination=35.69819,139.6987</t>
  </si>
  <si>
    <t>https://www.google.com/maps/@35.6981533,139.6986411,3a,90y,51.98h,108.04t/data=!3m7!1e1!3m5!1sEWZrSXq18-kXwMKTQ-DwmA!2e0!6shttps:%2F%2Fstreetviewpixels-pa.googleapis.com%2Fv1%2Fthumbnail%3Fcb_client%3Dmaps_sv.tactile%26w%3D900%26h%3D600%26pitch%3D-18.035003557082277%26panoid%3DEWZrSXq18-kXwMKTQ-DwmA%26yaw%3D51.97602253011115!7i16384!8i8192?entry=ttu&amp;g_ep=EgoyMDI1MDIwOS4wIKXMDSoASAFQAw%3D%3D</t>
  </si>
  <si>
    <t>원카라 신주쿠대 가드점</t>
  </si>
  <si>
    <t>원카라 신주쿠 오(큰)가드점</t>
  </si>
  <si>
    <t>https://www.google.com/maps/dir/?api=1&amp;destination=35.694014,139.6994759</t>
  </si>
  <si>
    <t>https://www.google.com/maps/@35.694014,139.6994759,3a,75y,145.93h,91.8t/data=!3m7!1e1!3m5!1s9ZAYuc8ozD6t43LIp2hd_w!2e0!6shttps:%2F%2Fstreetviewpixels-pa.googleapis.com%2Fv1%2Fthumbnail%3Fpanoid%3D9ZAYuc8ozD6t43LIp2hd_w%26cb_client%3Dmaps_sv.tactile.gps%26w%3D203%26h%3D100%26yaw%3D342.75446%26pitch%3D0%26thumbfov%3D100!7i16384!8i8192?entry=ttu</t>
  </si>
  <si>
    <t>고토 구립 竪川 하천 부지 공원</t>
  </si>
  <si>
    <t>고토구립 타테카와 하천부지 공원</t>
  </si>
  <si>
    <t>https://www.google.com/maps/dir/?api=1&amp;destination=35.69378,139.82904</t>
  </si>
  <si>
    <t>https://www.google.com/maps/@35.6937875,139.8284809,3a,90y,90.98h,96.63t/data=!3m7!1e1!3m5!1s3EuqHvR8ZTg3Tokmf5LAaw!2e0!6shttps:%2F%2Fstreetviewpixels-pa.googleapis.com%2Fv1%2Fthumbnail%3Fcb_client%3Dmaps_sv.tactile%26w%3D900%26h%3D600%26pitch%3D-6.634284195057177%26panoid%3D3EuqHvR8ZTg3Tokmf5LAaw%26yaw%3D90.97590739378491!7i16384!8i8192?entry=ttu&amp;g_ep=EgoyMDI1MDIwOS4wIKXMDSoASAFQAw%3D%3D</t>
  </si>
  <si>
    <t>미나토 구립 시바 공원</t>
  </si>
  <si>
    <t>https://www.google.com/maps/dir/?api=1&amp;destination=35.65539,139.7491</t>
  </si>
  <si>
    <t>https://www.google.com/maps/@35.6555519,139.7489471,3a,46.7y,209.97h,92.51t/data=!3m8!1e1!3m6!1sAF1QipN9OpplbffDfnEssvShe694_TWKKfP6TkL49puw!2e10!3e11!6shttps:%2F%2Flh3.googleusercontent.com%2Fp%2FAF1QipN9OpplbffDfnEssvShe694_TWKKfP6TkL49puw%3Dw900-h600-k-no-pi-2.5091625242968547-ya252.96623999530976-ro0-fo100!7i14080!8i7040?entry=ttu&amp;g_ep=EgoyMDI1MDIwOS4wIKXMDSoASAFQAw%3D%3D</t>
  </si>
  <si>
    <t>다이이치 인 이케부쿠로</t>
  </si>
  <si>
    <t>https://www.google.com/maps/dir/?api=1&amp;destination=35.7317649,139.7125561</t>
  </si>
  <si>
    <t>https://www.google.com/maps/@35.7317649,139.7125561,3a,90y,40.6h,104.31t/data=!3m6!1e1!3m4!1srKblfNS2QK9WShnC8l4Tfw!2e0!7i16384!8i8192?entry=ttu</t>
  </si>
  <si>
    <t>와이로드(잡지가 타니 료도)</t>
  </si>
  <si>
    <t>위로드(조사가야 수로 터널)</t>
  </si>
  <si>
    <t>https://www.google.com/maps/dir/?api=1&amp;destination=35.73175,139.71142</t>
  </si>
  <si>
    <t>https://www.google.com/maps/@35.7314657,139.7119936,3a,67.3y,303.35h,94.3t/data=!3m7!1e1!3m5!1sC-_ibmcW7oZctYsLX1H6IA!2e0!6shttps:%2F%2Fstreetviewpixels-pa.googleapis.com%2Fv1%2Fthumbnail%3Fcb_client%3Dmaps_sv.tactile%26w%3D900%26h%3D600%26pitch%3D-4.300466458031252%26panoid%3DC-_ibmcW7oZctYsLX1H6IA%26yaw%3D303.3511852629201!7i16384!8i8192?entry=ttu&amp;g_ep=EgoyMDI1MDIwOS4wIKXMDSoASAFQAw%3D%3D</t>
  </si>
  <si>
    <t>이케부쿠로 기타 주륜장</t>
  </si>
  <si>
    <t>https://www.google.com/maps/dir/?api=1&amp;destination=35.7342288,139.7131889</t>
  </si>
  <si>
    <t>https://www.google.com/maps/@35.7342288,139.7131889,3a,75y,227.53h,99.59t/data=!3m7!1e1!3m5!1sX4gf8GNZwzAXsceiLarUKg!2e0!6shttps:%2F%2Fstreetviewpixels-pa.googleapis.com%2Fv1%2Fthumbnail%3Fpanoid%3DX4gf8GNZwzAXsceiLarUKg%26cb_client%3Dmaps_sv.tactile.gps%26w%3D203%26h%3D100%26yaw%3D83.02426%26pitch%3D0%26thumbfov%3D100!7i16384!8i8192?entry=ttu</t>
  </si>
  <si>
    <t>이케부쿠로 오하시</t>
  </si>
  <si>
    <t>https://www.google.com/maps/dir/?api=1&amp;destination=35.7341219,139.7138218</t>
  </si>
  <si>
    <t>https://www.google.com/maps/@35.7341219,139.7138218,3a,75y,224.68h,98.73t/data=!3m7!1e1!3m5!1sNJvPUaw1EfL1YhZ5Vgiu7w!2e0!6shttps:%2F%2Fstreetviewpixels-pa.googleapis.com%2Fv1%2Fthumbnail%3Fpanoid%3DNJvPUaw1EfL1YhZ5Vgiu7w%26cb_client%3Dmaps_sv.tactile.gps%26w%3D203%26h%3D100%26yaw%3D240.1595%26pitch%3D0%26thumbfov%3D100!7i16384!8i8192?entry=ttu</t>
  </si>
  <si>
    <t>BOOKOFF 이케부쿠로 선샤인 60거리점</t>
  </si>
  <si>
    <t>https://www.google.com/maps/dir/?api=1&amp;destination=35.7300357,139.7159516</t>
  </si>
  <si>
    <t>https://www.google.com/maps/@35.7300357,139.7159516,3a,75y,208.4h,94.03t/data=!3m7!1e1!3m5!1s3AKLcnLnxleOf8wI4SPx9A!2e0!6shttps:%2F%2Fstreetviewpixels-pa.googleapis.com%2Fv1%2Fthumbnail%3Fpanoid%3D3AKLcnLnxleOf8wI4SPx9A%26cb_client%3Dmaps_sv.tactile.gps%26w%3D203%26h%3D100%26yaw%3D88.44966%26pitch%3D0%26thumbfov%3D100!7i16384!8i8192?entry=ttu</t>
  </si>
  <si>
    <t>호텔 킹</t>
  </si>
  <si>
    <t>https://www.google.com/maps/dir/?api=1&amp;destination=35.7338539,139.7127439</t>
  </si>
  <si>
    <t>https://www.google.com/maps/@35.7338539,139.7127439,3a,90y,3.98h,93.94t/data=!3m6!1e1!3m4!1sFZGyCD4O0zZaQoJ7665Jqg!2e0!7i16384!8i8192?entry=ttu</t>
  </si>
  <si>
    <t>유 약국</t>
  </si>
  <si>
    <t>https://www.google.com/maps/dir/?api=1&amp;destination=35.7276964,139.7062381</t>
  </si>
  <si>
    <t>https://www.google.com/maps/@35.7276964,139.7062381,3a,90y,285.37h,96.88t/data=!3m6!1e1!3m4!1sGvGnx0486u7WNOzDwMT3fw!2e0!7i16384!8i8192?entry=ttu</t>
  </si>
  <si>
    <t>패밀리마트 메지로역 앞점</t>
  </si>
  <si>
    <t>https://www.google.com/maps/dir/?api=1&amp;destination=35.7225701,139.7047449</t>
  </si>
  <si>
    <t>https://www.google.com/maps/@35.7225701,139.7047449,3a,75y,311.62h,100.75t/data=!3m7!1e1!3m5!1sTCq8cT7_J3uE5SaSCVGftQ!2e0!6shttps:%2F%2Fstreetviewpixels-pa.googleapis.com%2Fv1%2Fthumbnail%3Fpanoid%3DTCq8cT7_J3uE5SaSCVGftQ%26cb_client%3Dmaps_sv.tactile.gps%26w%3D203%26h%3D100%26yaw%3D74.80323%26pitch%3D0%26thumbfov%3D100!7i16384!8i8192?entry=ttu</t>
  </si>
  <si>
    <t>카페 어콜릿 메지로</t>
  </si>
  <si>
    <t>https://www.google.com/maps/dir/?api=1&amp;destination=35.7216478,139.7063338</t>
  </si>
  <si>
    <t>https://www.google.com/maps/@35.7216478,139.7063338,3a,90y,87.95h,104.96t/data=!3m6!1e1!3m4!1sOAE366tvN1TUR6WyiEchnw!2e0!7i16384!8i8192?entry=ttu</t>
  </si>
  <si>
    <t>LEGALAND 메지로 에키마에</t>
  </si>
  <si>
    <t>https://www.google.com/maps/dir/?api=1&amp;destination=35.71825,139.70537</t>
  </si>
  <si>
    <t>https://www.google.com/maps/@35.7182585,139.7053724,3a,90y,343.06h,93.07t/data=!3m7!1e1!3m5!1sr9ggeQ_Qrojq9yXgoF-MXw!2e0!6shttps:%2F%2Fstreetviewpixels-pa.googleapis.com%2Fv1%2Fthumbnail%3Fcb_client%3Dmaps_sv.tactile%26w%3D900%26h%3D600%26pitch%3D-3.0667795985294504%26panoid%3Dr9ggeQ_Qrojq9yXgoF-MXw%26yaw%3D343.06463907636953!7i16384!8i8192?entry=ttu&amp;g_ep=EgoyMDI1MDIwOS4wIKXMDSoASAFQAw%3D%3D</t>
  </si>
  <si>
    <t>훨씬 전망대</t>
  </si>
  <si>
    <t>하루카 전망대</t>
  </si>
  <si>
    <t>https://www.google.com/maps/dir/?api=1&amp;destination=34.2039565,139.1337631</t>
  </si>
  <si>
    <t>https://www.google.com/maps/@34.2039565,139.1337631,3a,75y,206.07h,95.19t/data=!3m7!1e1!3m5!1sBcxBYdtb7hAWWL-zSzEbXg!2e0!6shttps:%2F%2Fstreetviewpixels-pa.googleapis.com%2Fv1%2Fthumbnail%3Fpanoid%3DBcxBYdtb7hAWWL-zSzEbXg%26cb_client%3Dmaps_sv.tactile.gps%26w%3D203%26h%3D100%26yaw%3D137.79832%26pitch%3D0%26thumbfov%3D100!7i13312!8i6656?entry=ttu</t>
  </si>
  <si>
    <t>다바타역</t>
  </si>
  <si>
    <t>https://www.google.com/maps/dir/?api=1&amp;destination=35.7369932,139.7618643</t>
  </si>
  <si>
    <t>https://www.google.com/maps/@35.7369932,139.7618643,3a,75y,221.44h,97.29t/data=!3m8!1e1!3m6!1sAF1QipNgxN6nIKMZAkq-BS5Wd8QfgIw3BvcDdSnjr3iX!2e10!3e11!6shttps:%2F%2Flh5.googleusercontent.com%2Fp%2FAF1QipNgxN6nIKMZAkq-BS5Wd8QfgIw3BvcDdSnjr3iX%3Dw203-h100-k-no-pi-0-ya45.08134-ro-0-fo100!7i8000!8i4000?entry=ttu</t>
  </si>
  <si>
    <t>spot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</si>
</sst>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5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dir/?api=1&amp;destination=35.67125,139.70337" TargetMode="External"/><Relationship Id="rId299" Type="http://schemas.openxmlformats.org/officeDocument/2006/relationships/hyperlink" Target="https://www.google.com/maps/dir/?api=1&amp;destination=35.6580315,139.4995855" TargetMode="External"/><Relationship Id="rId21" Type="http://schemas.openxmlformats.org/officeDocument/2006/relationships/hyperlink" Target="https://www.google.com/maps/dir/?api=1&amp;destination=35.69891,139.76293" TargetMode="External"/><Relationship Id="rId63" Type="http://schemas.openxmlformats.org/officeDocument/2006/relationships/hyperlink" Target="https://www.google.com/maps/dir/?api=1&amp;destination=35.68034,139.7672" TargetMode="External"/><Relationship Id="rId159" Type="http://schemas.openxmlformats.org/officeDocument/2006/relationships/hyperlink" Target="https://www.google.com/maps/dir/?api=1&amp;destination=35.66249,139.69744" TargetMode="External"/><Relationship Id="rId324" Type="http://schemas.openxmlformats.org/officeDocument/2006/relationships/hyperlink" Target="https://www.google.com/maps/@35.6946389,139.7013187,3a,47.9y,16.24h,102.28t/data=!3m7!1e1!3m5!1srLcl2tTUyw3WAky9_NZBlg!2e0!6shttps:%2F%2Fstreetviewpixels-pa.googleapis.com%2Fv1%2Fthumbnail%3Fcb_client%3Dmaps_sv.tactile%26w%3D900%26h%3D600%26pitch%3D-12.282587116539517%26panoid%3DrLcl2tTUyw3WAky9_NZBlg%26yaw%3D16.243705709012033!7i16384!8i8192?entry=ttu&amp;g_ep=EgoyMDI1MDIwOS4wIKXMDSoASAFQAw%3D%3D" TargetMode="External"/><Relationship Id="rId366" Type="http://schemas.openxmlformats.org/officeDocument/2006/relationships/hyperlink" Target="https://www.google.com/maps/@35.6594137,139.7005955,3a,75y,27.09h,98.96t/data=!3m7!1e1!3m5!1snLvWqMGAqrC6MoJ_GoAAcQ!2e0!6shttps:%2F%2Fstreetviewpixels-pa.googleapis.com%2Fv1%2Fthumbnail%3Fcb_client%3Dmaps_sv.tactile%26w%3D900%26h%3D600%26pitch%3D-8.961184197271862%26panoid%3DnLvWqMGAqrC6MoJ_GoAAcQ%26yaw%3D27.09163485732913!7i16384!8i8192?entry=ttu&amp;g_ep=EgoyMDI1MDIwOS4wIKXMDSoASAFQAw%3D%3D" TargetMode="External"/><Relationship Id="rId170" Type="http://schemas.openxmlformats.org/officeDocument/2006/relationships/hyperlink" Target="https://www.google.com/maps/@35.6621184,139.6974002,3a,70.2y,51.95h,104.8t/data=!3m7!1e1!3m5!1sDN-S5Ry3XoXvNgJ3RZWv2A!2e0!6shttps:%2F%2Fstreetviewpixels-pa.googleapis.com%2Fv1%2Fthumbnail%3Fcb_client%3Dmaps_sv.tactile%26w%3D900%26h%3D600%26pitch%3D-14.80130569995164%26panoid%3DDN-S5Ry3XoXvNgJ3RZWv2A%26yaw%3D51.95138813620993!7i16384!8i8192?hl=ko&amp;entry=ttu&amp;g_ep=EgoyMDI0MTIxMS4wIKXMDSoASAFQAw%3D%3D" TargetMode="External"/><Relationship Id="rId226" Type="http://schemas.openxmlformats.org/officeDocument/2006/relationships/hyperlink" Target="https://www.google.com/maps/@35.6583124,139.6984803,2a,75y,101.47h,96.02t/data=!3m6!1e1!3m4!1sUL82vTRY-LKqcq0ITdMdrw!2e0!7i16384!8i8192?coh=205409&amp;entry=ttu" TargetMode="External"/><Relationship Id="rId268" Type="http://schemas.openxmlformats.org/officeDocument/2006/relationships/hyperlink" Target="https://www.google.com/maps/@35.6595574,139.6992326,2a,90y,109.01h,88.13t/data=!3m7!1e1!3m5!1s5R_Lmg12fNBanW3yUkyRsQ!2e0!6shttps:%2F%2Fstreetviewpixels-pa.googleapis.com%2Fv1%2Fthumbnail%3Fcb_client%3Dmaps_sv.tactile%26w%3D900%26h%3D600%26pitch%3D1.8690815295347534%26panoid%3D5R_Lmg12fNBanW3yUkyRsQ%26yaw%3D109.00641848419001!7i13312!8i6656?hl=en&amp;entry=ttu&amp;g_ep=EgoyMDI0MTIxMS4wIKXMDSoASAFQAw%3D%3D" TargetMode="External"/><Relationship Id="rId32" Type="http://schemas.openxmlformats.org/officeDocument/2006/relationships/hyperlink" Target="https://www.google.com/maps/@35.6910431,139.6964603,3a,90y,325.47h,120.15t/data=!3m7!1e1!3m5!1sr3eZww8LIMExQ3D3iFZhEg!2e0!6shttps:%2F%2Fstreetviewpixels-pa.googleapis.com%2Fv1%2Fthumbnail%3Fcb_client%3Dmaps_sv.tactile%26w%3D900%26h%3D600%26pitch%3D-30.147790108296107%26panoid%3Dr3eZww8LIMExQ3D3iFZhEg%26yaw%3D325.46830339762994!7i16384!8i8192?hl=ko&amp;entry=ttu&amp;g_ep=EgoyMDI0MTIxMS4wIKXMDSoASAFQAw%3D%3D" TargetMode="External"/><Relationship Id="rId74" Type="http://schemas.openxmlformats.org/officeDocument/2006/relationships/hyperlink" Target="https://www.google.com/maps/@35.6786067,139.7365556,3a,75y,315.9h,94.74t/data=!3m6!1e1!3m4!1sLWMvrXdQv6JlL0wXM7PceA!2e0!7i16384!8i8192?entry=ttu" TargetMode="External"/><Relationship Id="rId128" Type="http://schemas.openxmlformats.org/officeDocument/2006/relationships/hyperlink" Target="https://maps.app.goo.gl/2GF4VbHwbejVJbs88" TargetMode="External"/><Relationship Id="rId335" Type="http://schemas.openxmlformats.org/officeDocument/2006/relationships/hyperlink" Target="https://www.google.com/maps/dir/?api=1&amp;destination=35.7055335,139.7354207" TargetMode="External"/><Relationship Id="rId377" Type="http://schemas.openxmlformats.org/officeDocument/2006/relationships/hyperlink" Target="https://www.google.com/maps/dir/?api=1&amp;destination=35.69378,139.82904" TargetMode="External"/><Relationship Id="rId5" Type="http://schemas.openxmlformats.org/officeDocument/2006/relationships/hyperlink" Target="https://www.google.com/maps/dir/?api=1&amp;destination=35.68149,139.76635" TargetMode="External"/><Relationship Id="rId181" Type="http://schemas.openxmlformats.org/officeDocument/2006/relationships/hyperlink" Target="https://www.google.com/maps/dir/?api=1&amp;destination=35.66145,139.70225" TargetMode="External"/><Relationship Id="rId237" Type="http://schemas.openxmlformats.org/officeDocument/2006/relationships/hyperlink" Target="https://www.google.com/maps/dir/?api=1&amp;destination=35.65782,139.6995" TargetMode="External"/><Relationship Id="rId402" Type="http://schemas.openxmlformats.org/officeDocument/2006/relationships/hyperlink" Target="https://www.google.com/maps/@34.2039565,139.1337631,3a,75y,206.07h,95.19t/data=!3m7!1e1!3m5!1sBcxBYdtb7hAWWL-zSzEbXg!2e0!6shttps:%2F%2Fstreetviewpixels-pa.googleapis.com%2Fv1%2Fthumbnail%3Fpanoid%3DBcxBYdtb7hAWWL-zSzEbXg%26cb_client%3Dmaps_sv.tactile.gps%26w%3D203%26h%3D100%26yaw%3D137.79832%26pitch%3D0%26thumbfov%3D100!7i13312!8i6656?entry=ttu" TargetMode="External"/><Relationship Id="rId279" Type="http://schemas.openxmlformats.org/officeDocument/2006/relationships/hyperlink" Target="https://www.google.com/maps/dir/?api=1&amp;destination=35.66777,139.78114" TargetMode="External"/><Relationship Id="rId43" Type="http://schemas.openxmlformats.org/officeDocument/2006/relationships/hyperlink" Target="https://www.google.com/maps/dir/?api=1&amp;destination=35.69408,139.70016" TargetMode="External"/><Relationship Id="rId139" Type="http://schemas.openxmlformats.org/officeDocument/2006/relationships/hyperlink" Target="https://www.google.com/maps/dir/?api=1&amp;destination=35.70533,139.58063" TargetMode="External"/><Relationship Id="rId290" Type="http://schemas.openxmlformats.org/officeDocument/2006/relationships/hyperlink" Target="https://www.google.com/maps/@35.6840609,139.7745372,3a,90y,98.32h,90.28t/data=!3m7!1e1!3m5!1sqOM8ot5Qg1bX_ZK0buMX7w!2e0!5s20220901T000000!7i16384!8i8192?entry=ttu" TargetMode="External"/><Relationship Id="rId304" Type="http://schemas.openxmlformats.org/officeDocument/2006/relationships/hyperlink" Target="https://www.google.com/maps/@35.6930034,139.699184,3a,75y,86.81h,91.49t/data=!3m7!1e1!3m5!1s0Ydes7DZoHy3ukpYTN5PIw!2e0!6shttps:%2F%2Fstreetviewpixels-pa.googleapis.com%2Fv1%2Fthumbnail%3Fpanoid%3D0Ydes7DZoHy3ukpYTN5PIw%26cb_client%3Dmaps_sv.tactile.gps%26w%3D203%26h%3D100%26yaw%3D195.4453%26pitch%3D0%26thumbfov%3D100!7i16384!8i8192?entry=ttu" TargetMode="External"/><Relationship Id="rId346" Type="http://schemas.openxmlformats.org/officeDocument/2006/relationships/hyperlink" Target="https://www.google.com/maps/@35.6950865,139.7037326,3a,75y,130.35h,100.22t/data=!3m6!1e1!3m4!1sFyi0meXAvxYL2QDsQ3G3mA!2e0!7i16384!8i8192?entry=ttu" TargetMode="External"/><Relationship Id="rId388" Type="http://schemas.openxmlformats.org/officeDocument/2006/relationships/hyperlink" Target="https://www.google.com/maps/@35.7341219,139.7138218,3a,75y,224.68h,98.73t/data=!3m7!1e1!3m5!1sNJvPUaw1EfL1YhZ5Vgiu7w!2e0!6shttps:%2F%2Fstreetviewpixels-pa.googleapis.com%2Fv1%2Fthumbnail%3Fpanoid%3DNJvPUaw1EfL1YhZ5Vgiu7w%26cb_client%3Dmaps_sv.tactile.gps%26w%3D203%26h%3D100%26yaw%3D240.1595%26pitch%3D0%26thumbfov%3D100!7i16384!8i8192?entry=ttu" TargetMode="External"/><Relationship Id="rId85" Type="http://schemas.openxmlformats.org/officeDocument/2006/relationships/hyperlink" Target="https://www.google.com/maps/dir/?api=1&amp;destination=35.6894,139.70018" TargetMode="External"/><Relationship Id="rId150" Type="http://schemas.openxmlformats.org/officeDocument/2006/relationships/hyperlink" Target="https://maps.app.goo.gl/5Pmg9Kdy5siR4kWy8" TargetMode="External"/><Relationship Id="rId192" Type="http://schemas.openxmlformats.org/officeDocument/2006/relationships/hyperlink" Target="https://www.google.com/maps/@35.6693397,139.7036829,2a,48.2y,123.99h,89.94t/data=!3m7!1e1!3m5!1syyWIer8-qbYUKLVgddBXWg!2e0!6shttps:%2F%2Fstreetviewpixels-pa.googleapis.com%2Fv1%2Fthumbnail%3Fcb_client%3Dmaps_sv.tactile%26w%3D900%26h%3D600%26pitch%3D0.06139905102581622%26panoid%3DyyWIer8-qbYUKLVgddBXWg%26yaw%3D123.99477483912204!7i13312!8i6656?hl=ko&amp;entry=ttu&amp;g_ep=EgoyMDI0MTIxMS4wIKXMDSoASAFQAw%3D%3D" TargetMode="External"/><Relationship Id="rId206" Type="http://schemas.openxmlformats.org/officeDocument/2006/relationships/hyperlink" Target="https://www.google.com/maps/@35.6615258,139.7007873,3a,75y,134.57h,125.86t/data=!3m7!1e1!3m5!1sM3vuPnGKlItfeEfB4fmKEA!2e0!6shttps:%2F%2Fstreetviewpixels-pa.googleapis.com%2Fv1%2Fthumbnail%3Fpanoid%3DM3vuPnGKlItfeEfB4fmKEA%26cb_client%3Dmaps_sv.tactile.gps%26w%3D203%26h%3D100%26yaw%3D140.62308%26pitch%3D0%26thumbfov%3D100!7i16384!8i8192?coh=205409&amp;entry=ttu" TargetMode="External"/><Relationship Id="rId248" Type="http://schemas.openxmlformats.org/officeDocument/2006/relationships/hyperlink" Target="https://www.google.com/maps/@35.6595543,139.7004253,3a,90y,29.13h,120.37t/data=!3m7!1e1!3m5!1sR8mfJBBtsPqvk6QvugtvpQ!2e0!6shttps:%2F%2Fstreetviewpixels-pa.googleapis.com%2Fv1%2Fthumbnail%3Fcb_client%3Dmaps_sv.tactile%26w%3D900%26h%3D600%26pitch%3D-30.367502527696928%26panoid%3DR8mfJBBtsPqvk6QvugtvpQ%26yaw%3D29.125730647667645!7i16384!8i8192?entry=ttu&amp;g_ep=EgoyMDI1MDkzMC4wIKXMDSoASAFQAw%3D%3D" TargetMode="External"/><Relationship Id="rId12" Type="http://schemas.openxmlformats.org/officeDocument/2006/relationships/hyperlink" Target="https://www.google.com/maps/@35.7019652,139.7577953,3a,75y,67.72h,105.05t/data=!3m7!1e1!3m5!1svhj6LoBne_PmlKZTthkKWg!2e0!6shttps:%2F%2Fstreetviewpixels-pa.googleapis.com%2Fv1%2Fthumbnail%3Fpanoid%3Dvhj6LoBne_PmlKZTthkKWg%26cb_client%3Dmaps_sv.tactile.gps%26w%3D203%26h%3D100%26yaw%3D316.2118%26pitch%3D0%26thumbfov%3D100!7i16384!8i8192?entry=ttu" TargetMode="External"/><Relationship Id="rId108" Type="http://schemas.openxmlformats.org/officeDocument/2006/relationships/hyperlink" Target="https://maps.app.goo.gl/gbYuSTLQw1126dht9" TargetMode="External"/><Relationship Id="rId315" Type="http://schemas.openxmlformats.org/officeDocument/2006/relationships/hyperlink" Target="https://www.google.com/maps/dir/?api=1&amp;destination=35.69354,139.70234" TargetMode="External"/><Relationship Id="rId357" Type="http://schemas.openxmlformats.org/officeDocument/2006/relationships/hyperlink" Target="https://www.google.com/maps/dir/?api=1&amp;destination=35.6274605,139.7715434" TargetMode="External"/><Relationship Id="rId54" Type="http://schemas.openxmlformats.org/officeDocument/2006/relationships/hyperlink" Target="https://www.google.com/maps/place/Tokyo+City+View/@35.6603622,139.7297211,3a,90y,294.51h,91.73t/data=!3m8!1e1!3m6!1sAF1QipPA5QZQ0CKeVIDYPYXMwkmt1ir5bslNAFjxTgnQ!2e10!3e11!6shttps:%2F%2Flh5.googleusercontent.com%2Fp%2FAF1QipPA5QZQ0CKeVIDYPYXMwkmt1ir5bslNAFjxTgnQ%3Dw900-h600-k-no-pi-1.733354762216024-ya294.51455685083886-ro0-fo100!7i5376!8i2688!4m9!3m8!1s0x60188b770edd442b:0x667ab47030771257!8m2!3d35.6600712!4d139.7292907!10e5!14m1!1BCgIgARICCAI!16s%2Fg%2F11bccll_jd?entry=ttu&amp;g_ep=EgoyMDI0MTIxMS4wIKXMDSoASAFQAw%3D%3D" TargetMode="External"/><Relationship Id="rId96" Type="http://schemas.openxmlformats.org/officeDocument/2006/relationships/hyperlink" Target="https://www.google.com/maps/place/Suga+Shrine+Otokodan/@35.685207,139.7235042,3a,90y,13.57h,79.68t/data=!3m8!1e1!3m6!1sAF1QipP4gXcUq2a-P5z4SsbLNzP1s0FLFMzlinIDTNlI!2e10!3e11!6shttps:%2F%2Flh5.googleusercontent.com%2Fp%2FAF1QipP4gXcUq2a-P5z4SsbLNzP1s0FLFMzlinIDTNlI%3Dw900-h600-k-no-pi10.318146593978085-ya13.566830782174623-ro0-fo100!7i5376!8i2688!4m9!3m8!1s0x60188d308a909915:0xacf9ea04e44c674c!8m2!3d35.6850552!4d139.7233349!10e5!14m1!1BCgIgARICCAI!16s%2Fg%2F11g4sk641g?entry=ttu&amp;g_ep=EgoyMDI0MTIxMS4wIKXMDSoASAFQAw%3D%3D" TargetMode="External"/><Relationship Id="rId161" Type="http://schemas.openxmlformats.org/officeDocument/2006/relationships/hyperlink" Target="https://www.google.com/maps/dir/?api=1&amp;destination=35.6603507,139.7014408" TargetMode="External"/><Relationship Id="rId217" Type="http://schemas.openxmlformats.org/officeDocument/2006/relationships/hyperlink" Target="https://www.google.com/maps/dir/?api=1&amp;destination=35.6601241,139.6957658" TargetMode="External"/><Relationship Id="rId399" Type="http://schemas.openxmlformats.org/officeDocument/2006/relationships/hyperlink" Target="https://www.google.com/maps/dir/?api=1&amp;destination=35.71825,139.70537" TargetMode="External"/><Relationship Id="rId259" Type="http://schemas.openxmlformats.org/officeDocument/2006/relationships/hyperlink" Target="https://www.google.com/maps/dir/?api=1&amp;destination=35.66037,139.69666" TargetMode="External"/><Relationship Id="rId23" Type="http://schemas.openxmlformats.org/officeDocument/2006/relationships/hyperlink" Target="https://www.google.com/maps/dir/?api=1&amp;destination=35.73759,139.65498" TargetMode="External"/><Relationship Id="rId119" Type="http://schemas.openxmlformats.org/officeDocument/2006/relationships/hyperlink" Target="https://www.google.com/maps/dir/?api=1&amp;destination=35.66314,139.73253" TargetMode="External"/><Relationship Id="rId270" Type="http://schemas.openxmlformats.org/officeDocument/2006/relationships/hyperlink" Target="https://www.google.com/maps/@35.6594507,139.7003243,2a,90y,298.23h,96.95t/data=!3m6!1e1!3m4!1sg268_oP8xenjQzS6u3Yv1A!2e0!7i13312!8i6656?coh=205409&amp;entry=ttu" TargetMode="External"/><Relationship Id="rId326" Type="http://schemas.openxmlformats.org/officeDocument/2006/relationships/hyperlink" Target="https://www.google.com/maps/@35.695402,139.7015227,3a,75y,66.72h,98.85t/data=!3m7!1e1!3m5!1sFhAVoTSOAJIvTHL40-n8Eg!2e0!6shttps:%2F%2Fstreetviewpixels-pa.googleapis.com%2Fv1%2Fthumbnail%3Fpanoid%3DFhAVoTSOAJIvTHL40-n8Eg%26cb_client%3Dmaps_sv.tactile.gps%26w%3D203%26h%3D100%26yaw%3D357.9764%26pitch%3D0%26thumbfov%3D100!7i16384!8i8192?entry=ttu" TargetMode="External"/><Relationship Id="rId65" Type="http://schemas.openxmlformats.org/officeDocument/2006/relationships/hyperlink" Target="https://www.google.com/maps/dir/?api=1&amp;destination=35.67551,139.71921" TargetMode="External"/><Relationship Id="rId130" Type="http://schemas.openxmlformats.org/officeDocument/2006/relationships/hyperlink" Target="https://maps.app.goo.gl/CmUpT68p3CyArv6q7" TargetMode="External"/><Relationship Id="rId368" Type="http://schemas.openxmlformats.org/officeDocument/2006/relationships/hyperlink" Target="https://www.google.com/maps/@35.6329404,139.7962398,3a,90y,206.08h,102.61t/data=!3m7!1e1!3m5!1sNsaDRVihpFho_jXKiW2gRA!2e0!6shttps:%2F%2Fstreetviewpixels-pa.googleapis.com%2Fv1%2Fthumbnail%3Fcb_client%3Dmaps_sv.tactile%26w%3D900%26h%3D600%26pitch%3D-12.613792746796761%26panoid%3DNsaDRVihpFho_jXKiW2gRA%26yaw%3D206.08131983305725!7i16384!8i8192?entry=ttu&amp;g_ep=EgoyMDI1MDIwOS4wIKXMDSoASAFQAw%3D%3D" TargetMode="External"/><Relationship Id="rId172" Type="http://schemas.openxmlformats.org/officeDocument/2006/relationships/hyperlink" Target="https://www.google.com/maps/@35.6574979,139.7017191,3a,48.7y,90.04h,88.35t/data=!3m7!1e1!3m5!1swBEyt-zlG0s4hDLHVVrdlw!2e0!6shttps:%2F%2Fstreetviewpixels-pa.googleapis.com%2Fv1%2Fthumbnail%3Fcb_client%3Dmaps_sv.tactile%26w%3D900%26h%3D600%26pitch%3D1.6528326256272692%26panoid%3DwBEyt-zlG0s4hDLHVVrdlw%26yaw%3D90.0356349431763!7i16384!8i8192?entry=ttu&amp;g_ep=EgoyMDI0MTIxMS4wIKXMDSoASAFQAw%3D%3D" TargetMode="External"/><Relationship Id="rId228" Type="http://schemas.openxmlformats.org/officeDocument/2006/relationships/hyperlink" Target="https://www.google.com/maps/@35.6588296,139.7001883,2a,49.6y,149.73h,91.02t/data=!3m8!1e1!3m6!1sIZ_c7RZ4cvnJ9FroBHMZig!2e0!3e2!6shttps:%2F%2Fstreetviewpixels-pa.googleapis.com%2Fv1%2Fthumbnail%3Fcb_client%3Dmaps_sv.tactile%26w%3D900%26h%3D600%26pitch%3D-1.0218632213658765%26panoid%3DIZ_c7RZ4cvnJ9FroBHMZig%26yaw%3D149.732813723996!7i16384!8i8192?hl=ko&amp;entry=ttu&amp;g_ep=EgoyMDI0MTIxMS4wIKXMDSoASAFQAw%3D%3D" TargetMode="External"/><Relationship Id="rId281" Type="http://schemas.openxmlformats.org/officeDocument/2006/relationships/hyperlink" Target="https://www.google.com/maps/dir/?api=1&amp;destination=35.6938266,139.7042314" TargetMode="External"/><Relationship Id="rId337" Type="http://schemas.openxmlformats.org/officeDocument/2006/relationships/hyperlink" Target="https://www.google.com/maps/dir/?api=1&amp;destination=35.7077029,139.7745669" TargetMode="External"/><Relationship Id="rId34" Type="http://schemas.openxmlformats.org/officeDocument/2006/relationships/hyperlink" Target="https://www.google.com/maps/@35.6937115,139.7010549,3a,90y,258.16h,107.94t/data=!3m7!1e1!3m5!1sV1We6drKjpWIwAB3Eifnkw!2e0!6shttps:%2F%2Fstreetviewpixels-pa.googleapis.com%2Fv1%2Fthumbnail%3Fcb_client%3Dmaps_sv.tactile%26w%3D900%26h%3D600%26pitch%3D-17.937575191706742%26panoid%3DV1We6drKjpWIwAB3Eifnkw%26yaw%3D258.1607378672105!7i16384!8i8192?entry=ttu&amp;g_ep=EgoyMDI1MDgwNi4wIKXMDSoASAFQAw%3D%3D" TargetMode="External"/><Relationship Id="rId76" Type="http://schemas.openxmlformats.org/officeDocument/2006/relationships/hyperlink" Target="https://www.google.com/maps/@35.6778275,139.7370483,3a,90y,186.07h,106.56t/data=!3m6!1e1!3m4!1sGdPoKn6oF-JJI5qD11x2Ew!2e0!7i16384!8i8192?entry=ttu" TargetMode="External"/><Relationship Id="rId141" Type="http://schemas.openxmlformats.org/officeDocument/2006/relationships/hyperlink" Target="https://www.google.com/maps/dir/?api=1&amp;destination=35.7042,139.63674" TargetMode="External"/><Relationship Id="rId379" Type="http://schemas.openxmlformats.org/officeDocument/2006/relationships/hyperlink" Target="https://www.google.com/maps/dir/?api=1&amp;destination=35.65539,139.7491" TargetMode="External"/><Relationship Id="rId7" Type="http://schemas.openxmlformats.org/officeDocument/2006/relationships/hyperlink" Target="https://www.google.com/maps/dir/?api=1&amp;destination=35.69933,139.76614" TargetMode="External"/><Relationship Id="rId183" Type="http://schemas.openxmlformats.org/officeDocument/2006/relationships/hyperlink" Target="https://www.google.com/maps/dir/?api=1&amp;destination=35.6575914,139.696725" TargetMode="External"/><Relationship Id="rId239" Type="http://schemas.openxmlformats.org/officeDocument/2006/relationships/hyperlink" Target="https://www.google.com/maps/dir/?api=1&amp;destination=35.6557818,139.6950531" TargetMode="External"/><Relationship Id="rId390" Type="http://schemas.openxmlformats.org/officeDocument/2006/relationships/hyperlink" Target="https://www.google.com/maps/@35.7300357,139.7159516,3a,75y,208.4h,94.03t/data=!3m7!1e1!3m5!1s3AKLcnLnxleOf8wI4SPx9A!2e0!6shttps:%2F%2Fstreetviewpixels-pa.googleapis.com%2Fv1%2Fthumbnail%3Fpanoid%3D3AKLcnLnxleOf8wI4SPx9A%26cb_client%3Dmaps_sv.tactile.gps%26w%3D203%26h%3D100%26yaw%3D88.44966%26pitch%3D0%26thumbfov%3D100!7i16384!8i8192?entry=ttu" TargetMode="External"/><Relationship Id="rId404" Type="http://schemas.openxmlformats.org/officeDocument/2006/relationships/hyperlink" Target="https://www.google.com/maps/@35.7369932,139.7618643,3a,75y,221.44h,97.29t/data=!3m8!1e1!3m6!1sAF1QipNgxN6nIKMZAkq-BS5Wd8QfgIw3BvcDdSnjr3iX!2e10!3e11!6shttps:%2F%2Flh5.googleusercontent.com%2Fp%2FAF1QipNgxN6nIKMZAkq-BS5Wd8QfgIw3BvcDdSnjr3iX%3Dw203-h100-k-no-pi-0-ya45.08134-ro-0-fo100!7i8000!8i4000?entry=ttu" TargetMode="External"/><Relationship Id="rId250" Type="http://schemas.openxmlformats.org/officeDocument/2006/relationships/hyperlink" Target="https://www.google.com/maps/@35.6598776,139.6986398,3a,48.7y,116.2h,98.58t/data=!3m7!1e1!3m5!1sA9ULDe_4eHsn_Pw0GbIhtw!2e0!6shttps:%2F%2Fstreetviewpixels-pa.googleapis.com%2Fv1%2Fthumbnail%3Fcb_client%3Dmaps_sv.tactile%26w%3D900%26h%3D600%26pitch%3D-8.580675280034981%26panoid%3DA9ULDe_4eHsn_Pw0GbIhtw%26yaw%3D116.19566346777778!7i16384!8i8192?entry=ttu&amp;g_ep=EgoyMDI0MTIxMS4wIKXMDSoASAFQAw%3D%3D" TargetMode="External"/><Relationship Id="rId292" Type="http://schemas.openxmlformats.org/officeDocument/2006/relationships/hyperlink" Target="https://maps.app.goo.gl/53Ca7rBFYpQCLjAJA" TargetMode="External"/><Relationship Id="rId306" Type="http://schemas.openxmlformats.org/officeDocument/2006/relationships/hyperlink" Target="https://www.google.com/maps/@35.6863148,139.700035,3a,90y,211.83h,106.13t/data=!3m7!1e1!3m5!1sw2rXwAl5zKYiytV5B5TfBw!2e0!6shttps:%2F%2Fstreetviewpixels-pa.googleapis.com%2Fv1%2Fthumbnail%3Fpanoid%3Dw2rXwAl5zKYiytV5B5TfBw%26cb_client%3Dmaps_sv.tactile.gps%26w%3D203%26h%3D100%26yaw%3D321.33334%26pitch%3D0%26thumbfov%3D100!7i16384!8i8192?entry=ttu" TargetMode="External"/><Relationship Id="rId45" Type="http://schemas.openxmlformats.org/officeDocument/2006/relationships/hyperlink" Target="https://www.google.com/maps/dir/?api=1&amp;destination=35.65981,139.70048" TargetMode="External"/><Relationship Id="rId87" Type="http://schemas.openxmlformats.org/officeDocument/2006/relationships/hyperlink" Target="https://www.google.com/maps/dir/?api=1&amp;destination=35.6806971,139.7115109" TargetMode="External"/><Relationship Id="rId110" Type="http://schemas.openxmlformats.org/officeDocument/2006/relationships/hyperlink" Target="https://maps.app.goo.gl/qXp28SRN9YtFSZt86" TargetMode="External"/><Relationship Id="rId348" Type="http://schemas.openxmlformats.org/officeDocument/2006/relationships/hyperlink" Target="https://www.google.com/maps/@35.6960726,139.7029033,3a,90y,166.6h,91.93t/data=!3m7!1e1!3m5!1sbH8m6oA9JAV6X4GSwfPsog!2e0!6shttps:%2F%2Fstreetviewpixels-pa.googleapis.com%2Fv1%2Fthumbnail%3Fcb_client%3Dmaps_sv.tactile%26w%3D900%26h%3D600%26pitch%3D-1.9320168999337568%26panoid%3DbH8m6oA9JAV6X4GSwfPsog%26yaw%3D166.60277399041018!7i16384!8i8192?entry=ttu&amp;g_ep=EgoyMDI1MDIwOS4wIKXMDSoASAFQAw%3D%3D" TargetMode="External"/><Relationship Id="rId152" Type="http://schemas.openxmlformats.org/officeDocument/2006/relationships/hyperlink" Target="https://maps.app.goo.gl/uXDH98q4Uc3ChqXf9" TargetMode="External"/><Relationship Id="rId194" Type="http://schemas.openxmlformats.org/officeDocument/2006/relationships/hyperlink" Target="https://www.google.com/maps/@35.6691299,139.704111,2a,75y,297.37h,95.02t/data=!3m6!1e1!3m4!1sBWQAM-EbOkz_Asqc7TFO9A!2e0!7i13312!8i6656?entry=ttu" TargetMode="External"/><Relationship Id="rId208" Type="http://schemas.openxmlformats.org/officeDocument/2006/relationships/hyperlink" Target="https://www.google.com/maps/@35.6604987,139.7022594,3a,90y,231.84h,103.46t/data=!3m6!1e1!3m4!1sblUI-VfiVUXaVvw5WblYuQ!2e0!7i16384!8i8192?coh=205409&amp;entry=ttu" TargetMode="External"/><Relationship Id="rId261" Type="http://schemas.openxmlformats.org/officeDocument/2006/relationships/hyperlink" Target="https://www.google.com/maps/dir/?api=1&amp;destination=35.65955,139.6993" TargetMode="External"/><Relationship Id="rId14" Type="http://schemas.openxmlformats.org/officeDocument/2006/relationships/hyperlink" Target="https://www.google.com/maps/@35.7003509,139.7653381,3a,87.8y,177.49h,87.9t/data=!3m7!1e1!3m5!1sZHNZtKl3l4_Pok72t_6lyQ!2e0!6shttps:%2F%2Fstreetviewpixels-pa.googleapis.com%2Fv1%2Fthumbnail%3Fcb_client%3Dmaps_sv.tactile%26w%3D900%26h%3D600%26pitch%3D2.1049057580307675%26panoid%3DZHNZtKl3l4_Pok72t_6lyQ%26yaw%3D177.48535336628208!7i16384!8i8192?hl=ko&amp;entry=ttu&amp;g_ep=EgoyMDI0MTIxMS4wIKXMDSoASAFQAw%3D%3D" TargetMode="External"/><Relationship Id="rId56" Type="http://schemas.openxmlformats.org/officeDocument/2006/relationships/hyperlink" Target="https://www.google.com/maps/@35.664923,139.7263534,2a,75y,247.97h,86.13t/data=!3m6!1e1!3m4!1sVPLKKXc7eKbJBvaKmwSYjQ!2e0!7i13312!8i6656?entry=ttu" TargetMode="External"/><Relationship Id="rId317" Type="http://schemas.openxmlformats.org/officeDocument/2006/relationships/hyperlink" Target="https://www.google.com/maps/dir/?api=1&amp;destination=35.6910143,139.7012357" TargetMode="External"/><Relationship Id="rId359" Type="http://schemas.openxmlformats.org/officeDocument/2006/relationships/hyperlink" Target="https://www.google.com/maps/dir/?api=1&amp;destination=35.6270931,139.7795285" TargetMode="External"/><Relationship Id="rId98" Type="http://schemas.openxmlformats.org/officeDocument/2006/relationships/hyperlink" Target="https://maps.app.goo.gl/TDFK8BTYbMsXrRnC7" TargetMode="External"/><Relationship Id="rId121" Type="http://schemas.openxmlformats.org/officeDocument/2006/relationships/hyperlink" Target="https://www.google.com/maps/dir/?api=1&amp;destination=35.65919,139.73034" TargetMode="External"/><Relationship Id="rId163" Type="http://schemas.openxmlformats.org/officeDocument/2006/relationships/hyperlink" Target="https://www.google.com/maps/dir/?api=1&amp;destination=35.6619145,139.6992841" TargetMode="External"/><Relationship Id="rId219" Type="http://schemas.openxmlformats.org/officeDocument/2006/relationships/hyperlink" Target="https://www.google.com/maps/dir/?api=1&amp;destination=35.66032,139.69636" TargetMode="External"/><Relationship Id="rId370" Type="http://schemas.openxmlformats.org/officeDocument/2006/relationships/hyperlink" Target="https://www.google.com/maps/@35.7109323,139.7963119,3a,75y,6.26h,95.53t/data=!3m7!1e1!3m5!1svxNO5RgWRyh3zbrXaZd1hQ!2e0!6shttps:%2F%2Fstreetviewpixels-pa.googleapis.com%2Fv1%2Fthumbnail%3Fpanoid%3DvxNO5RgWRyh3zbrXaZd1hQ%26cb_client%3Dmaps_sv.tactile.gps%26w%3D203%26h%3D100%26yaw%3D113.91979%26pitch%3D0%26thumbfov%3D100!7i16384!8i8192?entry=ttu" TargetMode="External"/><Relationship Id="rId230" Type="http://schemas.openxmlformats.org/officeDocument/2006/relationships/hyperlink" Target="https://www.google.com/maps/@35.6568189,139.704719,3a,90y,56.37h,92.76t/data=!3m7!1e1!3m5!1stouyxQykzGzVxlYrWkZi_Q!2e0!6shttps:%2F%2Fstreetviewpixels-pa.googleapis.com%2Fv1%2Fthumbnail%3Fpanoid%3DtouyxQykzGzVxlYrWkZi_Q%26cb_client%3Dmaps_sv.tactile.gps%26w%3D203%26h%3D100%26yaw%3D195.92679%26pitch%3D0%26thumbfov%3D100!7i16384!8i8192?coh=205409&amp;entry=ttu" TargetMode="External"/><Relationship Id="rId25" Type="http://schemas.openxmlformats.org/officeDocument/2006/relationships/hyperlink" Target="https://www.google.com/maps/dir/?api=1&amp;destination=35.73767,139.65458" TargetMode="External"/><Relationship Id="rId67" Type="http://schemas.openxmlformats.org/officeDocument/2006/relationships/hyperlink" Target="https://www.google.com/maps/dir/?api=1&amp;destination=35.6812094,139.7669619" TargetMode="External"/><Relationship Id="rId272" Type="http://schemas.openxmlformats.org/officeDocument/2006/relationships/hyperlink" Target="https://www.google.com/maps/@35.6597951,139.6988517,3a,62.4y,252.99h,103.15t/data=!3m7!1e1!3m5!1s5lUnwpRMe061JX1bVbhTZA!2e0!6shttps:%2F%2Fstreetviewpixels-pa.googleapis.com%2Fv1%2Fthumbnail%3Fcb_client%3Dmaps_sv.tactile%26w%3D900%26h%3D600%26pitch%3D-13.147294737672226%26panoid%3D5lUnwpRMe061JX1bVbhTZA%26yaw%3D252.9867364908806!7i16384!8i8192?hl=ko&amp;entry=ttu&amp;g_ep=EgoyMDI0MTIxMS4wIKXMDSoASAFQAw%3D%3D" TargetMode="External"/><Relationship Id="rId328" Type="http://schemas.openxmlformats.org/officeDocument/2006/relationships/hyperlink" Target="https://www.google.com/maps/@35.6960562,139.7030571,3a,75y,159.8h,97.43t/data=!3m6!1e1!3m4!1srg8T3IVVLv3GsGIuAZhhFg!2e0!7i16384!8i8192?entry=ttu" TargetMode="External"/><Relationship Id="rId132" Type="http://schemas.openxmlformats.org/officeDocument/2006/relationships/hyperlink" Target="https://maps.app.goo.gl/pLNormHzUNFgiY8q6" TargetMode="External"/><Relationship Id="rId174" Type="http://schemas.openxmlformats.org/officeDocument/2006/relationships/hyperlink" Target="https://www.google.com/maps/@35.6990245,139.413478,3a,90y,77.55h,95.08t/data=!3m7!1e1!3m5!1sjsAV3HX4NTwY0UGkpUmu6Q!2e0!6shttps:%2F%2Fstreetviewpixels-pa.googleapis.com%2Fv1%2Fthumbnail%3Fcb_client%3Dmaps_sv.tactile%26w%3D900%26h%3D600%26pitch%3D-5.082993607838844%26panoid%3DjsAV3HX4NTwY0UGkpUmu6Q%26yaw%3D77.54992580089021!7i16384!8i8192?hl=ko&amp;entry=ttu&amp;g_ep=EgoyMDI0MTIxMS4wIKXMDSoASAFQAw%3D%3D" TargetMode="External"/><Relationship Id="rId381" Type="http://schemas.openxmlformats.org/officeDocument/2006/relationships/hyperlink" Target="https://www.google.com/maps/dir/?api=1&amp;destination=35.7317649,139.7125561" TargetMode="External"/><Relationship Id="rId241" Type="http://schemas.openxmlformats.org/officeDocument/2006/relationships/hyperlink" Target="https://www.google.com/maps/dir/?api=1&amp;destination=35.65904,139.69983" TargetMode="External"/><Relationship Id="rId36" Type="http://schemas.openxmlformats.org/officeDocument/2006/relationships/hyperlink" Target="https://www.google.com/maps/@35.6892759,139.700574,3a,62.2y,49.96h,92.22t/data=!3m7!1e1!3m5!1sH2obMXgceDQIGZqA9x35fg!2e0!6shttps:%2F%2Fstreetviewpixels-pa.googleapis.com%2Fv1%2Fthumbnail%3Fcb_client%3Dmaps_sv.tactile%26w%3D900%26h%3D600%26pitch%3D-2.2206714019456513%26panoid%3DH2obMXgceDQIGZqA9x35fg%26yaw%3D49.961482577773396!7i16384!8i8192?hl=ko&amp;entry=ttu&amp;g_ep=EgoyMDI0MTIxMS4wIKXMDSoASAFQAw%3D%3D" TargetMode="External"/><Relationship Id="rId283" Type="http://schemas.openxmlformats.org/officeDocument/2006/relationships/hyperlink" Target="https://www.google.com/maps/dir/?api=1&amp;destination=35.6927393,139.7047692" TargetMode="External"/><Relationship Id="rId339" Type="http://schemas.openxmlformats.org/officeDocument/2006/relationships/hyperlink" Target="https://www.google.com/maps/dir/?api=1&amp;destination=35.6692041,139.7603117" TargetMode="External"/><Relationship Id="rId78" Type="http://schemas.openxmlformats.org/officeDocument/2006/relationships/hyperlink" Target="https://www.google.com/maps/@35.6791786,139.732854,3a,75y,345.25h,101.39t/data=!3m6!1e1!3m4!1sffr866vmFS336uwDmqaKAg!2e0!7i16384!8i8192?entry=ttu" TargetMode="External"/><Relationship Id="rId101" Type="http://schemas.openxmlformats.org/officeDocument/2006/relationships/hyperlink" Target="https://www.google.com/maps/dir/?api=1&amp;destination=35.71645,139.77257" TargetMode="External"/><Relationship Id="rId143" Type="http://schemas.openxmlformats.org/officeDocument/2006/relationships/hyperlink" Target="https://www.google.com/maps/dir/?api=1&amp;destination=35.70615,139.63636" TargetMode="External"/><Relationship Id="rId185" Type="http://schemas.openxmlformats.org/officeDocument/2006/relationships/hyperlink" Target="https://www.google.com/maps/dir/?api=1&amp;destination=35.65578,139.70423" TargetMode="External"/><Relationship Id="rId350" Type="http://schemas.openxmlformats.org/officeDocument/2006/relationships/hyperlink" Target="https://www.google.com/maps/@35.6953868,139.7056268,3a,90y,280.09h,94.44t/data=!3m7!1e1!3m5!1swiRKdb4-fCUXeb4qFzy3EQ!2e0!6shttps:%2F%2Fstreetviewpixels-pa.googleapis.com%2Fv1%2Fthumbnail%3Fpanoid%3DwiRKdb4-fCUXeb4qFzy3EQ%26cb_client%3Dmaps_sv.tactile.gps%26w%3D203%26h%3D100%26yaw%3D185.78046%26pitch%3D0%26thumbfov%3D100!7i16384!8i8192?entry=ttu" TargetMode="External"/><Relationship Id="rId9" Type="http://schemas.openxmlformats.org/officeDocument/2006/relationships/hyperlink" Target="https://www.google.com/maps/dir/?api=1&amp;destination=35.7027811,139.757694" TargetMode="External"/><Relationship Id="rId210" Type="http://schemas.openxmlformats.org/officeDocument/2006/relationships/hyperlink" Target="https://www.google.com/maps/@35.6612396,139.7007869,3a,75y,305.4h,109.95t/data=!3m6!1e1!3m4!1s_so-4WuHlC93nm6wArTQ3g!2e0!7i16384!8i8192?entry=ttu" TargetMode="External"/><Relationship Id="rId392" Type="http://schemas.openxmlformats.org/officeDocument/2006/relationships/hyperlink" Target="https://www.google.com/maps/@35.7338539,139.7127439,3a,90y,3.98h,93.94t/data=!3m6!1e1!3m4!1sFZGyCD4O0zZaQoJ7665Jqg!2e0!7i16384!8i8192?entry=ttu" TargetMode="External"/><Relationship Id="rId252" Type="http://schemas.openxmlformats.org/officeDocument/2006/relationships/hyperlink" Target="https://www.google.com/maps/@35.6595472,139.7003921,2a,47.9y,271.12h,89.66t/data=!3m7!1e1!3m5!1stmzoRHTu8-Coaar7fwh99g!2e0!6shttps:%2F%2Fstreetviewpixels-pa.googleapis.com%2Fv1%2Fthumbnail%3Fcb_client%3Dmaps_sv.tactile%26w%3D900%26h%3D600%26pitch%3D0.34363318780906127%26panoid%3DtmzoRHTu8-Coaar7fwh99g%26yaw%3D271.1173473955279!7i13312!8i6656?entry=ttu&amp;g_ep=EgoyMDI0MTIxMS4wIKXMDSoASAFQAw%3D%3D" TargetMode="External"/><Relationship Id="rId294" Type="http://schemas.openxmlformats.org/officeDocument/2006/relationships/hyperlink" Target="https://www.google.com/maps/@35.661576,139.6967404,3a,75y,171.61h,82.16t/data=!3m6!1e1!3m4!1sYOvCnosJ9O-vD58a0mCJNw!2e0!7i16384!8i8192?entry=ttu" TargetMode="External"/><Relationship Id="rId308" Type="http://schemas.openxmlformats.org/officeDocument/2006/relationships/hyperlink" Target="https://www.google.com/maps/@35.6860196,139.7003708,3a,48.7y,144.08h,95.43t/data=!3m6!1e1!3m4!1s3tzyYacJNHjjulTDefkZgg!2e0!7i16384!8i8192?entry=ttu" TargetMode="External"/><Relationship Id="rId47" Type="http://schemas.openxmlformats.org/officeDocument/2006/relationships/hyperlink" Target="https://www.google.com/maps/dir/?api=1&amp;destination=35.68176,139.72571" TargetMode="External"/><Relationship Id="rId89" Type="http://schemas.openxmlformats.org/officeDocument/2006/relationships/hyperlink" Target="https://www.google.com/maps/dir/?api=1&amp;destination=35.68027,139.71906" TargetMode="External"/><Relationship Id="rId112" Type="http://schemas.openxmlformats.org/officeDocument/2006/relationships/hyperlink" Target="https://maps.app.goo.gl/Vy2JEvuv6tt37dLt9" TargetMode="External"/><Relationship Id="rId154" Type="http://schemas.openxmlformats.org/officeDocument/2006/relationships/hyperlink" Target="https://maps.app.goo.gl/erMzpqRPp1KwcVZ1A" TargetMode="External"/><Relationship Id="rId361" Type="http://schemas.openxmlformats.org/officeDocument/2006/relationships/hyperlink" Target="https://www.google.com/maps/dir/?api=1&amp;destination=35.67637,139.78726" TargetMode="External"/><Relationship Id="rId196" Type="http://schemas.openxmlformats.org/officeDocument/2006/relationships/hyperlink" Target="https://www.google.com/maps/@35.6683206,139.7054007,2a,90y,292.97h,93.44t/data=!3m7!1e1!3m5!1sYiXfaN2IYbg0ktPgxFAXcA!2e0!6shttps:%2F%2Fstreetviewpixels-pa.googleapis.com%2Fv1%2Fthumbnail%3Fcb_client%3Dmaps_sv.tactile%26w%3D900%26h%3D600%26pitch%3D-3.4371693462700676%26panoid%3DYiXfaN2IYbg0ktPgxFAXcA%26yaw%3D292.97056058694085!7i13312!8i6656?entry=ttu&amp;g_ep=EgoyMDI0MTIxMS4wIKXMDSoASAFQAw%3D%3D" TargetMode="External"/><Relationship Id="rId16" Type="http://schemas.openxmlformats.org/officeDocument/2006/relationships/hyperlink" Target="https://www.google.com/maps/@35.6995507,139.7663764,3a,75y,207.42h,87.24t/data=!3m8!1e1!3m6!1sAF1QipMjavTbLidLZ-d1hfKytEZPi2UDqq9H1co0DWjT!2e10!3e11!6shttps:%2F%2Flh5.googleusercontent.com%2Fp%2FAF1QipMjavTbLidLZ-d1hfKytEZPi2UDqq9H1co0DWjT%3Dw203-h100-k-no-pi-0-ya288.97864-ro0-fo100!7i8704!8i4352?entry=ttu" TargetMode="External"/><Relationship Id="rId221" Type="http://schemas.openxmlformats.org/officeDocument/2006/relationships/hyperlink" Target="https://www.google.com/maps/dir/?api=1&amp;destination=35.65834,139.70313" TargetMode="External"/><Relationship Id="rId263" Type="http://schemas.openxmlformats.org/officeDocument/2006/relationships/hyperlink" Target="https://www.google.com/maps/dir/?api=1&amp;destination=35.6592697,139.6986495" TargetMode="External"/><Relationship Id="rId319" Type="http://schemas.openxmlformats.org/officeDocument/2006/relationships/hyperlink" Target="https://www.google.com/maps/dir/?api=1&amp;destination=35.69401,139.70107" TargetMode="External"/><Relationship Id="rId58" Type="http://schemas.openxmlformats.org/officeDocument/2006/relationships/hyperlink" Target="https://www.google.com/maps/@35.6795071,139.7197313,3a,75y,246.18h,98.11t/data=!3m6!1e1!3m4!1sKtm37yBn2mcdc4z9ULAE9g!2e0!7i16384!8i8192?entry=ttu" TargetMode="External"/><Relationship Id="rId123" Type="http://schemas.openxmlformats.org/officeDocument/2006/relationships/hyperlink" Target="https://www.google.com/maps/dir/?api=1&amp;destination=35.66017,139.72937" TargetMode="External"/><Relationship Id="rId330" Type="http://schemas.openxmlformats.org/officeDocument/2006/relationships/hyperlink" Target="https://www.google.com/maps/@35.6938851,139.7005534,3a,39.2y,17.9h,98.73t/data=!3m6!1e1!3m4!1sQSwrcS5KVMAFuT7zMsWQRQ!2e0!7i16384!8i8192?entry=ttu" TargetMode="External"/><Relationship Id="rId90" Type="http://schemas.openxmlformats.org/officeDocument/2006/relationships/hyperlink" Target="https://www.google.com/maps/@35.6803215,139.7192581,3a,47.1y,253.76h,93.52t/data=!3m6!1e1!3m4!1syJvf6Kjv1lFlOBfsvhaINg!2e0!7i16384!8i8192?entry=ttu" TargetMode="External"/><Relationship Id="rId165" Type="http://schemas.openxmlformats.org/officeDocument/2006/relationships/hyperlink" Target="https://www.google.com/maps/dir/?api=1&amp;destination=35.6624451,139.6992892" TargetMode="External"/><Relationship Id="rId186" Type="http://schemas.openxmlformats.org/officeDocument/2006/relationships/hyperlink" Target="https://www.google.com/maps/@35.6559383,139.7041321,3a,75y,136.65h,94.85t/data=!3m7!1e1!3m5!1svAQV289-b9IO_Bd3pVLI7w!2e0!5s20210501T000000!7i16384!8i8192?entry=ttu" TargetMode="External"/><Relationship Id="rId351" Type="http://schemas.openxmlformats.org/officeDocument/2006/relationships/hyperlink" Target="https://www.google.com/maps/dir/?api=1&amp;destination=35.6949003,139.7055394" TargetMode="External"/><Relationship Id="rId372" Type="http://schemas.openxmlformats.org/officeDocument/2006/relationships/hyperlink" Target="https://www.google.com/maps/@35.6604038,139.7292383,2a,75y,20.97h,101.66t/data=!3m6!1e1!3m4!1s76aow7J_ycOTzysXf_7ivg!2e0!7i13312!8i6656?entry=ttu" TargetMode="External"/><Relationship Id="rId393" Type="http://schemas.openxmlformats.org/officeDocument/2006/relationships/hyperlink" Target="https://www.google.com/maps/dir/?api=1&amp;destination=35.7276964,139.7062381" TargetMode="External"/><Relationship Id="rId211" Type="http://schemas.openxmlformats.org/officeDocument/2006/relationships/hyperlink" Target="https://www.google.com/maps/dir/?api=1&amp;destination=35.65659,139.699" TargetMode="External"/><Relationship Id="rId232" Type="http://schemas.openxmlformats.org/officeDocument/2006/relationships/hyperlink" Target="https://www.google.com/maps/@35.6589024,139.700193,3a,90y,331.51h,101.85t/data=!3m7!1e1!3m5!1sK3sTh0Dsy0u3ybW_X_spSg!2e0!6shttps:%2F%2Fstreetviewpixels-pa.googleapis.com%2Fv1%2Fthumbnail%3Fcb_client%3Dmaps_sv.tactile%26w%3D900%26h%3D600%26pitch%3D-11.848104847280254%26panoid%3DK3sTh0Dsy0u3ybW_X_spSg%26yaw%3D331.51441729854196!7i16384!8i8192?entry=ttu&amp;g_ep=EgoyMDI0MTIxMS4wIKXMDSoASAFQAw%3D%3D" TargetMode="External"/><Relationship Id="rId253" Type="http://schemas.openxmlformats.org/officeDocument/2006/relationships/hyperlink" Target="https://www.google.com/maps/dir/?api=1&amp;destination=35.65949,139.69959" TargetMode="External"/><Relationship Id="rId274" Type="http://schemas.openxmlformats.org/officeDocument/2006/relationships/hyperlink" Target="https://www.google.com/maps/@35.6595026,139.7010244,2a,90y,226.53h,87.07t/data=!3m7!1e1!3m5!1s7ZIMVMUQ8d95qpOLB8pifw!2e0!6shttps:%2F%2Fstreetviewpixels-pa.googleapis.com%2Fv1%2Fthumbnail%3Fcb_client%3Dmaps_sv.tactile%26w%3D900%26h%3D600%26pitch%3D2.9314378784724937%26panoid%3D7ZIMVMUQ8d95qpOLB8pifw%26yaw%3D226.5257553325035!7i13312!8i6656?entry=ttu&amp;g_ep=EgoyMDI0MTIxMS4wIKXMDSoASAFQAw%3D%3D" TargetMode="External"/><Relationship Id="rId295" Type="http://schemas.openxmlformats.org/officeDocument/2006/relationships/hyperlink" Target="https://www.google.com/maps/dir/?api=1&amp;destination=35.6619552,139.8488244" TargetMode="External"/><Relationship Id="rId309" Type="http://schemas.openxmlformats.org/officeDocument/2006/relationships/hyperlink" Target="https://www.google.com/maps/dir/?api=1&amp;destination=35.684648,139.7013154" TargetMode="External"/><Relationship Id="rId27" Type="http://schemas.openxmlformats.org/officeDocument/2006/relationships/hyperlink" Target="https://www.google.com/maps/dir/?api=1&amp;destination=35.73863,139.6422" TargetMode="External"/><Relationship Id="rId48" Type="http://schemas.openxmlformats.org/officeDocument/2006/relationships/hyperlink" Target="https://www.google.com/maps/@35.6819178,139.725729,3a,64.3y,185.27h,92.59t/data=!3m7!1e1!3m5!1s29ijU-2HFTejPxiRKiDm7Q!2e0!6shttps:%2F%2Fstreetviewpixels-pa.googleapis.com%2Fv1%2Fthumbnail%3Fcb_client%3Dmaps_sv.tactile%26w%3D900%26h%3D600%26pitch%3D-2.5936211645393428%26panoid%3D29ijU-2HFTejPxiRKiDm7Q%26yaw%3D185.27298717314844!7i16384!8i8192?entry=ttu&amp;g_ep=EgoyMDI0MTIxMS4wIKXMDSoASAFQAw%3D%3D" TargetMode="External"/><Relationship Id="rId69" Type="http://schemas.openxmlformats.org/officeDocument/2006/relationships/hyperlink" Target="https://www.google.com/maps/dir/?api=1&amp;destination=35.6657,139.71173" TargetMode="External"/><Relationship Id="rId113" Type="http://schemas.openxmlformats.org/officeDocument/2006/relationships/hyperlink" Target="https://www.google.com/maps/dir/?api=1&amp;destination=35.66992,139.70274" TargetMode="External"/><Relationship Id="rId134" Type="http://schemas.openxmlformats.org/officeDocument/2006/relationships/hyperlink" Target="https://maps.app.goo.gl/zbExUkdu6pEiBJrk8" TargetMode="External"/><Relationship Id="rId320" Type="http://schemas.openxmlformats.org/officeDocument/2006/relationships/hyperlink" Target="https://www.google.com/maps/@35.6945004,139.7012547,3a,75y,199.07h,98.92t/data=!3m7!1e1!3m5!1sourSI3_SoIh829_0n3Yo5A!2e0!6shttps:%2F%2Fstreetviewpixels-pa.googleapis.com%2Fv1%2Fthumbnail%3Fcb_client%3Dmaps_sv.tactile%26w%3D900%26h%3D600%26pitch%3D-8.918661677010746%26panoid%3DourSI3_SoIh829_0n3Yo5A%26yaw%3D199.07163424889325!7i16384!8i8192?entry=ttu&amp;g_ep=EgoyMDI1MDIwOS4wIKXMDSoASAFQAw%3D%3D" TargetMode="External"/><Relationship Id="rId80" Type="http://schemas.openxmlformats.org/officeDocument/2006/relationships/hyperlink" Target="https://www.google.com/maps/@35.6808763,139.7316803,3a,90y,311.82h,101.03t/data=!3m6!1e1!3m4!1sgamkS1ONzKliNVDs_beleg!2e0!7i16384!8i8192?entry=ttu" TargetMode="External"/><Relationship Id="rId155" Type="http://schemas.openxmlformats.org/officeDocument/2006/relationships/hyperlink" Target="https://www.google.com/maps/dir/?api=1&amp;destination=35.6626,139.69711" TargetMode="External"/><Relationship Id="rId176" Type="http://schemas.openxmlformats.org/officeDocument/2006/relationships/hyperlink" Target="https://www.google.com/maps/@35.6996243,139.4143786,3a,27.3y,54.33h,90.7t/data=!3m7!1e1!3m5!1s2pK2aX9-cPXn7c4VqMY1Tw!2e0!6shttps:%2F%2Fstreetviewpixels-pa.googleapis.com%2Fv1%2Fthumbnail%3Fcb_client%3Dmaps_sv.tactile%26w%3D900%26h%3D600%26pitch%3D-0.6999828726157205%26panoid%3D2pK2aX9-cPXn7c4VqMY1Tw%26yaw%3D54.329958126169096!7i16384!8i8192?hl=ko&amp;entry=ttu&amp;g_ep=EgoyMDI0MTIxMS4wIKXMDSoASAFQAw%3D%3D" TargetMode="External"/><Relationship Id="rId197" Type="http://schemas.openxmlformats.org/officeDocument/2006/relationships/hyperlink" Target="https://www.google.com/maps/dir/?api=1&amp;destination=35.667871,139.7049723" TargetMode="External"/><Relationship Id="rId341" Type="http://schemas.openxmlformats.org/officeDocument/2006/relationships/hyperlink" Target="https://www.google.com/maps/dir/?api=1&amp;destination=35.67169,139.78824" TargetMode="External"/><Relationship Id="rId362" Type="http://schemas.openxmlformats.org/officeDocument/2006/relationships/hyperlink" Target="https://www.google.com/maps/@35.6763413,139.7872344,3a,48.7y,29.76h,98.35t/data=!3m7!1e1!3m5!1s_NcZkYZTgIxFUAe4VIZ6DA!2e0!6shttps:%2F%2Fstreetviewpixels-pa.googleapis.com%2Fv1%2Fthumbnail%3Fcb_client%3Dmaps_sv.tactile%26w%3D900%26h%3D600%26pitch%3D-8.346708623190366%26panoid%3D_NcZkYZTgIxFUAe4VIZ6DA%26yaw%3D29.756395382561145!7i16384!8i8192?entry=ttu&amp;g_ep=EgoyMDI1MDIwOS4wIKXMDSoASAFQAw%3D%3D" TargetMode="External"/><Relationship Id="rId383" Type="http://schemas.openxmlformats.org/officeDocument/2006/relationships/hyperlink" Target="https://www.google.com/maps/dir/?api=1&amp;destination=35.73175,139.71142" TargetMode="External"/><Relationship Id="rId201" Type="http://schemas.openxmlformats.org/officeDocument/2006/relationships/hyperlink" Target="https://www.google.com/maps/dir/?api=1&amp;destination=35.66934,139.70278" TargetMode="External"/><Relationship Id="rId222" Type="http://schemas.openxmlformats.org/officeDocument/2006/relationships/hyperlink" Target="https://www.google.com/maps/@35.6584172,139.7030162,3a,75y,108.13h,100.37t/data=!3m7!1e1!3m5!1sJeTEiJkF0aWI6kEnR4GNbQ!2e0!6shttps:%2F%2Fstreetviewpixels-pa.googleapis.com%2Fv1%2Fthumbnail%3Fpanoid%3DJeTEiJkF0aWI6kEnR4GNbQ%26cb_client%3Dmaps_sv.tactile.gps%26w%3D203%26h%3D100%26yaw%3D152.04475%26pitch%3D0%26thumbfov%3D100!7i16384!8i8192?entry=ttu" TargetMode="External"/><Relationship Id="rId243" Type="http://schemas.openxmlformats.org/officeDocument/2006/relationships/hyperlink" Target="https://www.google.com/maps/dir/?api=1&amp;destination=35.6573109,139.7025406" TargetMode="External"/><Relationship Id="rId264" Type="http://schemas.openxmlformats.org/officeDocument/2006/relationships/hyperlink" Target="https://www.google.com/maps/@35.6592697,139.6986495,3a,70.3y,304.82h,100.09t/data=!3m7!1e1!3m5!1sTp7rrJQZMq6Y19DJ7OiVaw!2e0!6shttps:%2F%2Fstreetviewpixels-pa.googleapis.com%2Fv1%2Fthumbnail%3Fpanoid%3DTp7rrJQZMq6Y19DJ7OiVaw%26cb_client%3Dmaps_sv.tactile.gps%26w%3D203%26h%3D100%26yaw%3D1.4410864%26pitch%3D0%26thumbfov%3D100!7i16384!8i8192?coh=205409&amp;entry=ttu" TargetMode="External"/><Relationship Id="rId285" Type="http://schemas.openxmlformats.org/officeDocument/2006/relationships/hyperlink" Target="https://www.google.com/maps/dir/?api=1&amp;destination=35.6925096,139.7056307" TargetMode="External"/><Relationship Id="rId17" Type="http://schemas.openxmlformats.org/officeDocument/2006/relationships/hyperlink" Target="https://www.google.com/maps/dir/?api=1&amp;destination=35.68834,139.74535" TargetMode="External"/><Relationship Id="rId38" Type="http://schemas.openxmlformats.org/officeDocument/2006/relationships/hyperlink" Target="https://www.google.com/maps/place/Cafe+La+Boheme+Shinjuku+Gyoen/@35.6875946,139.7129097,2a,90y,181.93h,96.87t/data=!3m8!1e1!3m6!1sLLQtqiQ1PoL8UxVsdlWDbg!2e0!3e2!6shttps:%2F%2Fstreetviewpixels-pa.googleapis.com%2Fv1%2Fthumbnail%3Fcb_client%3Dmaps_sv.tactile%26w%3D900%26h%3D600%26pitch%3D-6.872631842117741%26panoid%3DLLQtqiQ1PoL8UxVsdlWDbg%26yaw%3D181.92677476894062!7i13312!8i6656!4m9!3m8!1s0x60188cea1ff82e8f:0xc4f768329b5ee283!8m2!3d35.6875891!4d139.7128716!10e5!14m1!1BCgIgARICCAI!16s%2Fg%2F1tczvy8t?entry=ttu&amp;g_ep=EgoyMDI0MTIxMS4wIKXMDSoASAFQAw%3D%3D" TargetMode="External"/><Relationship Id="rId59" Type="http://schemas.openxmlformats.org/officeDocument/2006/relationships/hyperlink" Target="https://www.google.com/maps/dir/?api=1&amp;destination=35.65719,139.70111" TargetMode="External"/><Relationship Id="rId103" Type="http://schemas.openxmlformats.org/officeDocument/2006/relationships/hyperlink" Target="https://www.google.com/maps/dir/?api=1&amp;destination=35.66308,139.71285" TargetMode="External"/><Relationship Id="rId124" Type="http://schemas.openxmlformats.org/officeDocument/2006/relationships/hyperlink" Target="https://maps.app.goo.gl/ubQFWH2ZFRfSatG26" TargetMode="External"/><Relationship Id="rId310" Type="http://schemas.openxmlformats.org/officeDocument/2006/relationships/hyperlink" Target="https://www.google.com/maps/@35.684648,139.7013154,3a,48.8y,170.24h,97.61t/data=!3m6!1e1!3m4!1snbhRnrr6InXFnx_TbrQ_5Q!2e0!7i16384!8i8192?entry=ttu" TargetMode="External"/><Relationship Id="rId70" Type="http://schemas.openxmlformats.org/officeDocument/2006/relationships/hyperlink" Target="https://www.google.com/maps/@35.6656019,139.7117767,3a,75y,329.98h,102.51t/data=!3m6!1e1!3m4!1sEMoW5WEii4wl7a8CFc-Rlw!2e0!7i16384!8i8192?entry=ttu" TargetMode="External"/><Relationship Id="rId91" Type="http://schemas.openxmlformats.org/officeDocument/2006/relationships/hyperlink" Target="https://www.google.com/maps/dir/?api=1&amp;destination=35.68666,139.7226" TargetMode="External"/><Relationship Id="rId145" Type="http://schemas.openxmlformats.org/officeDocument/2006/relationships/hyperlink" Target="https://www.google.com/maps/dir/?api=1&amp;destination=35.69371,139.69773" TargetMode="External"/><Relationship Id="rId166" Type="http://schemas.openxmlformats.org/officeDocument/2006/relationships/hyperlink" Target="https://www.google.com/maps/@35.6624451,139.6992892,3a,90y,65.84h,93.62t/data=!3m6!1e1!3m4!1szuNufFOlmjNosq801-uuNQ!2e0!7i16384!8i8192?coh=205409&amp;entry=ttu" TargetMode="External"/><Relationship Id="rId187" Type="http://schemas.openxmlformats.org/officeDocument/2006/relationships/hyperlink" Target="https://www.google.com/maps/dir/?api=1&amp;destination=35.65898,139.70302" TargetMode="External"/><Relationship Id="rId331" Type="http://schemas.openxmlformats.org/officeDocument/2006/relationships/hyperlink" Target="https://www.google.com/maps/dir/?api=1&amp;destination=35.69185,139.70828" TargetMode="External"/><Relationship Id="rId352" Type="http://schemas.openxmlformats.org/officeDocument/2006/relationships/hyperlink" Target="https://www.google.com/maps/@35.6949003,139.7055394,3a,90y,352.98h,96.58t/data=!3m6!1e1!3m4!1sWVJdU0l0RHs3QXTly0iOpw!2e0!7i16384!8i8192?entry=ttu" TargetMode="External"/><Relationship Id="rId373" Type="http://schemas.openxmlformats.org/officeDocument/2006/relationships/hyperlink" Target="https://www.google.com/maps/dir/?api=1&amp;destination=35.69819,139.6987" TargetMode="External"/><Relationship Id="rId394" Type="http://schemas.openxmlformats.org/officeDocument/2006/relationships/hyperlink" Target="https://www.google.com/maps/@35.7276964,139.7062381,3a,90y,285.37h,96.88t/data=!3m6!1e1!3m4!1sGvGnx0486u7WNOzDwMT3fw!2e0!7i16384!8i8192?entry=ttu" TargetMode="External"/><Relationship Id="rId1" Type="http://schemas.openxmlformats.org/officeDocument/2006/relationships/hyperlink" Target="https://www.google.com/maps/dir/?api=1&amp;destination=35.68027,139.7671545" TargetMode="External"/><Relationship Id="rId212" Type="http://schemas.openxmlformats.org/officeDocument/2006/relationships/hyperlink" Target="https://www.google.com/maps/@35.6567035,139.6990966,3a,90y,32.86h,102.32t/data=!3m7!1e1!3m5!1sf9gz65R6qu_OZhwO34oNdA!2e0!6shttps:%2F%2Fstreetviewpixels-pa.googleapis.com%2Fv1%2Fthumbnail%3Fcb_client%3Dmaps_sv.tactile%26w%3D900%26h%3D600%26pitch%3D-12.32415999436516%26panoid%3Df9gz65R6qu_OZhwO34oNdA%26yaw%3D32.86187915584741!7i16384!8i8192?entry=ttu&amp;g_ep=EgoyMDI0MTIxMS4wIKXMDSoASAFQAw%3D%3D" TargetMode="External"/><Relationship Id="rId233" Type="http://schemas.openxmlformats.org/officeDocument/2006/relationships/hyperlink" Target="https://www.google.com/maps/dir/?api=1&amp;destination=35.65746,139.7026" TargetMode="External"/><Relationship Id="rId254" Type="http://schemas.openxmlformats.org/officeDocument/2006/relationships/hyperlink" Target="https://www.google.com/maps/@35.6594899,139.6996325,2a,90y,68.46h,91.25t/data=!3m7!1e1!3m5!1spwM7DhR3NMgpq3wDCRZhQA!2e0!6shttps:%2F%2Fstreetviewpixels-pa.googleapis.com%2Fv1%2Fthumbnail%3Fcb_client%3Dmaps_sv.tactile%26w%3D900%26h%3D600%26pitch%3D-1.2453547569588892%26panoid%3DpwM7DhR3NMgpq3wDCRZhQA%26yaw%3D68.45863098976902!7i13312!8i6656?entry=ttu&amp;g_ep=EgoyMDI0MTIxMS4wIKXMDSoASAFQAw%3D%3D" TargetMode="External"/><Relationship Id="rId28" Type="http://schemas.openxmlformats.org/officeDocument/2006/relationships/hyperlink" Target="https://maps.app.goo.gl/vwFvgpMUiBRrjRjB8" TargetMode="External"/><Relationship Id="rId49" Type="http://schemas.openxmlformats.org/officeDocument/2006/relationships/hyperlink" Target="https://www.google.com/maps/dir/?api=1&amp;destination=35.68161,139.72592" TargetMode="External"/><Relationship Id="rId114" Type="http://schemas.openxmlformats.org/officeDocument/2006/relationships/hyperlink" Target="https://maps.app.goo.gl/XKdJ81MrL6TLTnWY7" TargetMode="External"/><Relationship Id="rId275" Type="http://schemas.openxmlformats.org/officeDocument/2006/relationships/hyperlink" Target="https://www.google.com/maps/dir/?api=1&amp;destination=35.66875,139.76761" TargetMode="External"/><Relationship Id="rId296" Type="http://schemas.openxmlformats.org/officeDocument/2006/relationships/hyperlink" Target="https://www.google.com/maps/@35.6619552,139.8488244,3a,75y,153.81h,101.03t/data=!3m6!1e1!3m4!1sAF1QipNeSezvaCojS8XvVULRVG-mCIJ8jaiRwiH9CKr7!2e10!7i5376!8i2688?entry=ttu" TargetMode="External"/><Relationship Id="rId300" Type="http://schemas.openxmlformats.org/officeDocument/2006/relationships/hyperlink" Target="https://www.google.com/maps/@35.6580782,139.4995708,3a,90y,93.08h,97.16t/data=!3m7!1e1!3m5!1sWU-A6Wz7rdy4DXRKuMua2Q!2e0!6shttps:%2F%2Fstreetviewpixels-pa.googleapis.com%2Fv1%2Fthumbnail%3Fcb_client%3Dmaps_sv.tactile%26w%3D900%26h%3D600%26pitch%3D-7.157034776019103%26panoid%3DWU-A6Wz7rdy4DXRKuMua2Q%26yaw%3D93.08385526321408!7i16384!8i8192?entry=ttu&amp;g_ep=EgoyMDI0MTIxMS4wIKXMDSoASAFQAw%3D%3D" TargetMode="External"/><Relationship Id="rId60" Type="http://schemas.openxmlformats.org/officeDocument/2006/relationships/hyperlink" Target="https://www.google.com/maps/@35.6572742,139.7008479,3a,90y,107.16h,114.44t/data=!3m7!1e1!3m5!1smNCg3scPrHGeSObqVoAavA!2e0!6shttps:%2F%2Fstreetviewpixels-pa.googleapis.com%2Fv1%2Fthumbnail%3Fcb_client%3Dmaps_sv.tactile%26w%3D900%26h%3D600%26pitch%3D-24.436321395864383%26panoid%3DmNCg3scPrHGeSObqVoAavA%26yaw%3D107.15772790943909!7i16384!8i8192?hl=ko&amp;entry=ttu&amp;g_ep=EgoyMDI0MTIxMS4wIKXMDSoASAFQAw%3D%3D" TargetMode="External"/><Relationship Id="rId81" Type="http://schemas.openxmlformats.org/officeDocument/2006/relationships/hyperlink" Target="https://www.google.com/maps/dir/?api=1&amp;destination=35.69341,139.69731" TargetMode="External"/><Relationship Id="rId135" Type="http://schemas.openxmlformats.org/officeDocument/2006/relationships/hyperlink" Target="https://www.google.com/maps/dir/?api=1&amp;destination=35.70472,139.58044" TargetMode="External"/><Relationship Id="rId156" Type="http://schemas.openxmlformats.org/officeDocument/2006/relationships/hyperlink" Target="https://www.google.com/maps/@35.6625743,139.6970943,3a,90y,33.68h,105.13t/data=!3m7!1e1!3m5!1sl6XO6XDoTe1VJxtTIPSxow!2e0!6shttps:%2F%2Fstreetviewpixels-pa.googleapis.com%2Fv1%2Fthumbnail%3Fcb_client%3Dmaps_sv.tactile%26w%3D900%26h%3D600%26pitch%3D-15.133365074220166%26panoid%3Dl6XO6XDoTe1VJxtTIPSxow%26yaw%3D33.681017039855256!7i16384!8i8192?entry=ttu&amp;g_ep=EgoyMDI0MTIxMS4wIKXMDSoASAFQAw%3D%3D" TargetMode="External"/><Relationship Id="rId177" Type="http://schemas.openxmlformats.org/officeDocument/2006/relationships/hyperlink" Target="https://www.google.com/maps/dir/?api=1&amp;destination=35.69857,139.4139" TargetMode="External"/><Relationship Id="rId198" Type="http://schemas.openxmlformats.org/officeDocument/2006/relationships/hyperlink" Target="https://www.google.com/maps/@35.667871,139.7049723,2a,44.6y,13.67h,87.29t/data=!3m7!1e1!3m5!1sTlRYOUjQcmdZPFKSta5oiA!2e0!6shttps:%2F%2Fstreetviewpixels-pa.googleapis.com%2Fv1%2Fthumbnail%3Fcb_client%3Dmaps_sv.tactile%26w%3D900%26h%3D600%26pitch%3D2.7069942468015995%26panoid%3DTlRYOUjQcmdZPFKSta5oiA%26yaw%3D13.670582527892186!7i13312!8i6656?hl=ko&amp;entry=ttu&amp;g_ep=EgoyMDI0MTIxMS4wIKXMDSoASAFQAw%3D%3D" TargetMode="External"/><Relationship Id="rId321" Type="http://schemas.openxmlformats.org/officeDocument/2006/relationships/hyperlink" Target="https://www.google.com/maps/dir/?api=1&amp;destination=35.6943706,139.7017668" TargetMode="External"/><Relationship Id="rId342" Type="http://schemas.openxmlformats.org/officeDocument/2006/relationships/hyperlink" Target="https://www.google.com/maps/@35.6717218,139.788308,3a,90y,300.13h,100.68t/data=!3m7!1e1!3m5!1sAF1QipM3DvSW2OSfdEsIhdqFN82qhviUPR0RfKx_3tNK!2e10!6shttps:%2F%2Flh3.googleusercontent.com%2Fp%2FAF1QipM3DvSW2OSfdEsIhdqFN82qhviUPR0RfKx_3tNK%3Dw900-h600-k-no-pi-10.6842965040384-ya310.6171230594064-ro0-fo100!7i5376!8i2688?entry=ttu&amp;g_ep=EgoyMDI1MDIwOS4wIKXMDSoASAFQAw%3D%3D" TargetMode="External"/><Relationship Id="rId363" Type="http://schemas.openxmlformats.org/officeDocument/2006/relationships/hyperlink" Target="https://www.google.com/maps/dir/?api=1&amp;destination=35.67806,139.78729" TargetMode="External"/><Relationship Id="rId384" Type="http://schemas.openxmlformats.org/officeDocument/2006/relationships/hyperlink" Target="https://www.google.com/maps/@35.7314657,139.7119936,3a,67.3y,303.35h,94.3t/data=!3m7!1e1!3m5!1sC-_ibmcW7oZctYsLX1H6IA!2e0!6shttps:%2F%2Fstreetviewpixels-pa.googleapis.com%2Fv1%2Fthumbnail%3Fcb_client%3Dmaps_sv.tactile%26w%3D900%26h%3D600%26pitch%3D-4.300466458031252%26panoid%3DC-_ibmcW7oZctYsLX1H6IA%26yaw%3D303.3511852629201!7i16384!8i8192?entry=ttu&amp;g_ep=EgoyMDI1MDIwOS4wIKXMDSoASAFQAw%3D%3D" TargetMode="External"/><Relationship Id="rId202" Type="http://schemas.openxmlformats.org/officeDocument/2006/relationships/hyperlink" Target="https://www.google.com/maps/@35.6694312,139.7028111,3a,90y,5.26h,101.34t/data=!3m7!1e1!3m5!1sK9C7656Jdol4US02WrabiQ!2e0!6shttps:%2F%2Fstreetviewpixels-pa.googleapis.com%2Fv1%2Fthumbnail%3Fpanoid%3DK9C7656Jdol4US02WrabiQ%26cb_client%3Dmaps_sv.tactile.gps%26w%3D203%26h%3D100%26yaw%3D291.6438%26pitch%3D0%26thumbfov%3D100!7i16384!8i8192?coh=205409&amp;entry=ttu" TargetMode="External"/><Relationship Id="rId223" Type="http://schemas.openxmlformats.org/officeDocument/2006/relationships/hyperlink" Target="https://www.google.com/maps/dir/?api=1&amp;destination=35.6591,139.70256" TargetMode="External"/><Relationship Id="rId244" Type="http://schemas.openxmlformats.org/officeDocument/2006/relationships/hyperlink" Target="https://www.google.com/maps/@35.6573109,139.7025406,3a,75y,31.21h,121.62t/data=!3m7!1e1!3m5!1saOTyrbBdUQKgiA9Xv_Tp0Q!2e0!6shttps:%2F%2Fstreetviewpixels-pa.googleapis.com%2Fv1%2Fthumbnail%3Fpanoid%3DaOTyrbBdUQKgiA9Xv_Tp0Q%26cb_client%3Dmaps_sv.tactile.gps%26w%3D203%26h%3D100%26yaw%3D112.98657%26pitch%3D0%26thumbfov%3D100!7i16384!8i8192?coh=205409&amp;entry=ttu" TargetMode="External"/><Relationship Id="rId18" Type="http://schemas.openxmlformats.org/officeDocument/2006/relationships/hyperlink" Target="https://www.google.com/maps/@35.6882993,139.7453077,3a,60.8y,279.65h,118.45t/data=!3m7!1e1!3m5!1sLPwN-c05RzVQwTOohDLa6A!2e0!6shttps:%2F%2Fstreetviewpixels-pa.googleapis.com%2Fv1%2Fthumbnail%3Fcb_client%3Dmaps_sv.tactile%26w%3D900%26h%3D600%26pitch%3D-28.45338494170292%26panoid%3DLPwN-c05RzVQwTOohDLa6A%26yaw%3D279.6472310733631!7i16384!8i8192?hl=ko&amp;entry=ttu&amp;g_ep=EgoyMDI0MTIxMS4wIKXMDSoASAFQAw%3D%3D" TargetMode="External"/><Relationship Id="rId39" Type="http://schemas.openxmlformats.org/officeDocument/2006/relationships/hyperlink" Target="https://www.google.com/maps/dir/?api=1&amp;destination=35.69265,139.69422" TargetMode="External"/><Relationship Id="rId265" Type="http://schemas.openxmlformats.org/officeDocument/2006/relationships/hyperlink" Target="https://www.google.com/maps/dir/?api=1&amp;destination=35.6593367,139.6987315" TargetMode="External"/><Relationship Id="rId286" Type="http://schemas.openxmlformats.org/officeDocument/2006/relationships/hyperlink" Target="https://www.google.com/maps/place/Uta-Hiroba+Shinjuku+3-Chome/@35.6925096,139.7056307,3a,90y,119.39h,112.55t/data=!3m6!1e1!3m4!1s4qYMjz-Ud4Pt53ifVLp9nA!2e0!7i16384!8i8192!4m14!1m7!3m6!1s0x60188cdb850ff853:0x6256a5d884c970d7!2sUta-Hiroba+Shinjuku+3-Chome!8m2!3d35.6921613!4d139.7058724!16s%2Fg%2F1tdgptsz!3m5!1s0x60188cdb850ff853:0x6256a5d884c970d7!8m2!3d35.6921613!4d139.7058724!16s%2Fg%2F1tdgptsz?entry=ttu" TargetMode="External"/><Relationship Id="rId50" Type="http://schemas.openxmlformats.org/officeDocument/2006/relationships/hyperlink" Target="https://www.google.com/maps/@35.6816061,139.725992,3a,90y,191.03h,97.85t/data=!3m7!1e1!3m5!1siB42yvhxpoi8p7NAB5OagA!2e0!6shttps:%2F%2Fstreetviewpixels-pa.googleapis.com%2Fv1%2Fthumbnail%3Fcb_client%3Dmaps_sv.tactile%26w%3D900%26h%3D600%26pitch%3D-7.848353437382158%26panoid%3DiB42yvhxpoi8p7NAB5OagA%26yaw%3D191.02873947624823!7i16384!8i8192?hl=ko&amp;entry=ttu&amp;g_ep=EgoyMDI0MTIxMS4wIKXMDSoASAFQAw%3D%3D" TargetMode="External"/><Relationship Id="rId104" Type="http://schemas.openxmlformats.org/officeDocument/2006/relationships/hyperlink" Target="https://maps.app.goo.gl/cqQK8DAjV2Smo3y66" TargetMode="External"/><Relationship Id="rId125" Type="http://schemas.openxmlformats.org/officeDocument/2006/relationships/hyperlink" Target="https://www.google.com/maps/dir/?api=1&amp;destination=35.68121,139.70279" TargetMode="External"/><Relationship Id="rId146" Type="http://schemas.openxmlformats.org/officeDocument/2006/relationships/hyperlink" Target="https://maps.app.goo.gl/gT5PVjy4Sm9V3oJJA" TargetMode="External"/><Relationship Id="rId167" Type="http://schemas.openxmlformats.org/officeDocument/2006/relationships/hyperlink" Target="https://www.google.com/maps/dir/?api=1&amp;destination=35.66345,139.6995" TargetMode="External"/><Relationship Id="rId188" Type="http://schemas.openxmlformats.org/officeDocument/2006/relationships/hyperlink" Target="https://www.google.com/maps/@35.6587801,139.7028365,2a,75y,38.32h,98.91t,0r/data=!3m6!1e1!3m4!1sjOCqqB_ihkMMDWNTkFxrkw!2e0!7i13312!8i6656?entry=ttu" TargetMode="External"/><Relationship Id="rId311" Type="http://schemas.openxmlformats.org/officeDocument/2006/relationships/hyperlink" Target="https://www.google.com/maps/dir/?api=1&amp;destination=35.68344,139.70167" TargetMode="External"/><Relationship Id="rId332" Type="http://schemas.openxmlformats.org/officeDocument/2006/relationships/hyperlink" Target="https://www.google.com/maps/@35.6918476,139.7083469,3a,90y,261.27h,96.28t/data=!3m7!1e1!3m5!1s6i1NitTY4XY55V63bmSGpw!2e0!6shttps:%2F%2Fstreetviewpixels-pa.googleapis.com%2Fv1%2Fthumbnail%3Fcb_client%3Dmaps_sv.tactile%26w%3D900%26h%3D600%26pitch%3D-6.284782600610271%26panoid%3D6i1NitTY4XY55V63bmSGpw%26yaw%3D261.2738341612368!7i16384!8i8192?entry=ttu&amp;g_ep=EgoyMDI1MDIwOS4wIKXMDSoASAFQAw%3D%3D" TargetMode="External"/><Relationship Id="rId353" Type="http://schemas.openxmlformats.org/officeDocument/2006/relationships/hyperlink" Target="https://www.google.com/maps/dir/?api=1&amp;destination=35.6971044,139.705987" TargetMode="External"/><Relationship Id="rId374" Type="http://schemas.openxmlformats.org/officeDocument/2006/relationships/hyperlink" Target="https://www.google.com/maps/@35.6981533,139.6986411,3a,90y,51.98h,108.04t/data=!3m7!1e1!3m5!1sEWZrSXq18-kXwMKTQ-DwmA!2e0!6shttps:%2F%2Fstreetviewpixels-pa.googleapis.com%2Fv1%2Fthumbnail%3Fcb_client%3Dmaps_sv.tactile%26w%3D900%26h%3D600%26pitch%3D-18.035003557082277%26panoid%3DEWZrSXq18-kXwMKTQ-DwmA%26yaw%3D51.97602253011115!7i16384!8i8192?entry=ttu&amp;g_ep=EgoyMDI1MDIwOS4wIKXMDSoASAFQAw%3D%3D" TargetMode="External"/><Relationship Id="rId395" Type="http://schemas.openxmlformats.org/officeDocument/2006/relationships/hyperlink" Target="https://www.google.com/maps/dir/?api=1&amp;destination=35.7225701,139.7047449" TargetMode="External"/><Relationship Id="rId71" Type="http://schemas.openxmlformats.org/officeDocument/2006/relationships/hyperlink" Target="https://www.google.com/maps/dir/?api=1&amp;destination=35.68386,139.7021" TargetMode="External"/><Relationship Id="rId92" Type="http://schemas.openxmlformats.org/officeDocument/2006/relationships/hyperlink" Target="https://www.google.com/maps/@35.6870407,139.7227227,3a,39.9y,196.38h,92.36t/data=!3m6!1e1!3m4!1sgvajjdrbGQunnj8WoninqA!2e0!7i16384!8i8192?entry=ttu" TargetMode="External"/><Relationship Id="rId213" Type="http://schemas.openxmlformats.org/officeDocument/2006/relationships/hyperlink" Target="https://www.google.com/maps/dir/?api=1&amp;destination=35.6567805,139.6994801" TargetMode="External"/><Relationship Id="rId234" Type="http://schemas.openxmlformats.org/officeDocument/2006/relationships/hyperlink" Target="https://www.google.com/maps/@35.6575563,139.7026384,2a,75y,177.91h,100.62t/data=!3m6!1e1!3m4!1s0zsc_CxGqoCxDym-hjWEDg!2e0!7i16384!8i8192?entry=ttu" TargetMode="External"/><Relationship Id="rId2" Type="http://schemas.openxmlformats.org/officeDocument/2006/relationships/hyperlink" Target="https://www.google.com/maps/@35.68027,139.7671545,2a,90y,327.01h,90.7t/data=!3m6!1e1!3m4!1s--yJGDCe4F2hMzLTlnoPug!2e0!7i13312!8i6656?entry=ttu" TargetMode="External"/><Relationship Id="rId29" Type="http://schemas.openxmlformats.org/officeDocument/2006/relationships/hyperlink" Target="https://www.google.com/maps/dir/?api=1&amp;destination=35.66178,139.70081" TargetMode="External"/><Relationship Id="rId255" Type="http://schemas.openxmlformats.org/officeDocument/2006/relationships/hyperlink" Target="https://www.google.com/maps/dir/?api=1&amp;destination=35.6599949,139.7022886" TargetMode="External"/><Relationship Id="rId276" Type="http://schemas.openxmlformats.org/officeDocument/2006/relationships/hyperlink" Target="https://www.google.com/maps/@35.6686567,139.7674321,3a,90y,70.46h,101.5t/data=!3m7!1e1!3m5!1st4wJY7Abrzmk-KFiIeiANQ!2e0!6shttps:%2F%2Fstreetviewpixels-pa.googleapis.com%2Fv1%2Fthumbnail%3Fcb_client%3Dmaps_sv.tactile%26w%3D900%26h%3D600%26pitch%3D-11.499992333656053%26panoid%3Dt4wJY7Abrzmk-KFiIeiANQ%26yaw%3D70.46138984292236!7i16384!8i8192?entry=ttu&amp;g_ep=EgoyMDI0MTIxMS4wIKXMDSoASAFQAw%3D%3D" TargetMode="External"/><Relationship Id="rId297" Type="http://schemas.openxmlformats.org/officeDocument/2006/relationships/hyperlink" Target="https://www.google.com/maps/dir/?api=1&amp;destination=35.6579,139.4962" TargetMode="External"/><Relationship Id="rId40" Type="http://schemas.openxmlformats.org/officeDocument/2006/relationships/hyperlink" Target="https://www.google.com/maps/@35.6926207,139.6940588,3a,75y,113.61h,119.43t/data=!3m6!1e1!3m4!1s9LAXi9SZVQpUJ3CyOFsDBw!2e0!7i16384!8i8192?entry=ttu" TargetMode="External"/><Relationship Id="rId115" Type="http://schemas.openxmlformats.org/officeDocument/2006/relationships/hyperlink" Target="https://www.google.com/maps/dir/?api=1&amp;destination=35.67134,139.70434" TargetMode="External"/><Relationship Id="rId136" Type="http://schemas.openxmlformats.org/officeDocument/2006/relationships/hyperlink" Target="https://maps.app.goo.gl/zjLgGwdbUZUH6aPNA" TargetMode="External"/><Relationship Id="rId157" Type="http://schemas.openxmlformats.org/officeDocument/2006/relationships/hyperlink" Target="https://www.google.com/maps/dir/?api=1&amp;destination=35.6625,139.69706" TargetMode="External"/><Relationship Id="rId178" Type="http://schemas.openxmlformats.org/officeDocument/2006/relationships/hyperlink" Target="https://www.google.com/maps/@35.6986931,139.4138491,3a,90y,358.01h,103.07t/data=!3m7!1e1!3m5!1sPAbG6arl7DQ5HI9e2PuDhw!2e0!6shttps:%2F%2Fstreetviewpixels-pa.googleapis.com%2Fv1%2Fthumbnail%3Fcb_client%3Dmaps_sv.tactile%26w%3D900%26h%3D600%26pitch%3D-13.071766925408298%26panoid%3DPAbG6arl7DQ5HI9e2PuDhw%26yaw%3D358.012813385084!7i16384!8i8192?hl=ko&amp;entry=ttu&amp;g_ep=EgoyMDI0MTIxMS4wIKXMDSoASAFQAw%3D%3D" TargetMode="External"/><Relationship Id="rId301" Type="http://schemas.openxmlformats.org/officeDocument/2006/relationships/hyperlink" Target="https://www.google.com/maps/dir/?api=1&amp;destination=35.69227,139.7009" TargetMode="External"/><Relationship Id="rId322" Type="http://schemas.openxmlformats.org/officeDocument/2006/relationships/hyperlink" Target="https://www.google.com/maps/@35.6943706,139.7017668,3a,75y,66.5h,90t/data=!3m7!1e1!3m5!1sY6hf1ntgSf9kvxuYi8jKuw!2e0!6shttps:%2F%2Fstreetviewpixels-pa.googleapis.com%2Fv1%2Fthumbnail%3Fcb_client%3Dmaps_sv.tactile%26w%3D900%26h%3D600%26pitch%3D0%26panoid%3DY6hf1ntgSf9kvxuYi8jKuw%26yaw%3D66.50104440486939!7i16384!8i8192?coh=205410&amp;entry=ttu&amp;g_ep=EgoyMDI0MTAwOS4wIKXMDSoASAFQAw%3D%3D" TargetMode="External"/><Relationship Id="rId343" Type="http://schemas.openxmlformats.org/officeDocument/2006/relationships/hyperlink" Target="https://www.google.com/maps/dir/?api=1&amp;destination=35.67965,139.71546" TargetMode="External"/><Relationship Id="rId364" Type="http://schemas.openxmlformats.org/officeDocument/2006/relationships/hyperlink" Target="https://www.google.com/maps/@35.6778448,139.7871604,3a,90y,150.54h,102.1t/data=!3m7!1e1!3m5!1sAF1QipOSpb_BklDrYR5uVjgFcPI9-lK2dIkZQdXXP6QS!2e10!6shttps:%2F%2Flh3.googleusercontent.com%2Fp%2FAF1QipOSpb_BklDrYR5uVjgFcPI9-lK2dIkZQdXXP6QS%3Dw900-h600-k-no-pi-12.098056341420346-ya23.361338703459495-ro0-fo100!7i6720!8i3360?entry=ttu&amp;g_ep=EgoyMDI1MDIwOS4wIKXMDSoASAFQAw%3D%3D" TargetMode="External"/><Relationship Id="rId61" Type="http://schemas.openxmlformats.org/officeDocument/2006/relationships/hyperlink" Target="https://www.google.com/maps/dir/?api=1&amp;destination=35.68043,139.76645" TargetMode="External"/><Relationship Id="rId82" Type="http://schemas.openxmlformats.org/officeDocument/2006/relationships/hyperlink" Target="https://www.google.com/maps/@35.693612,139.6977777,3a,75y,220.14h,115.06t/data=!3m6!1e1!3m4!1sVNbDvTurQsKExzQHV46aGw!2e0!7i16384!8i8192?entry=ttu" TargetMode="External"/><Relationship Id="rId199" Type="http://schemas.openxmlformats.org/officeDocument/2006/relationships/hyperlink" Target="https://www.google.com/maps/dir/?api=1&amp;destination=35.6585834,139.7026089" TargetMode="External"/><Relationship Id="rId203" Type="http://schemas.openxmlformats.org/officeDocument/2006/relationships/hyperlink" Target="https://www.google.com/maps/dir/?api=1&amp;destination=35.6607839,139.7022416" TargetMode="External"/><Relationship Id="rId385" Type="http://schemas.openxmlformats.org/officeDocument/2006/relationships/hyperlink" Target="https://www.google.com/maps/dir/?api=1&amp;destination=35.7342288,139.7131889" TargetMode="External"/><Relationship Id="rId19" Type="http://schemas.openxmlformats.org/officeDocument/2006/relationships/hyperlink" Target="https://www.google.com/maps/dir/?api=1&amp;destination=35.69986,139.76344" TargetMode="External"/><Relationship Id="rId224" Type="http://schemas.openxmlformats.org/officeDocument/2006/relationships/hyperlink" Target="https://www.google.com/maps/@35.6590782,139.702489,2a,90y,307.41h,90.17t/data=!3m7!1e1!3m5!1s1T3Ih54qZc0O445h9J5N9g!2e0!6shttps:%2F%2Fstreetviewpixels-pa.googleapis.com%2Fv1%2Fthumbnail%3Fcb_client%3Dmaps_sv.tactile%26w%3D900%26h%3D600%26pitch%3D-0.16514673805042435%26panoid%3D1T3Ih54qZc0O445h9J5N9g%26yaw%3D307.4091449156936!7i13312!8i6656?entry=ttu&amp;g_ep=EgoyMDI0MTIxMS4wIKXMDSoASAFQAw%3D%3D" TargetMode="External"/><Relationship Id="rId245" Type="http://schemas.openxmlformats.org/officeDocument/2006/relationships/hyperlink" Target="https://www.google.com/maps/dir/?api=1&amp;destination=35.65967,139.69937" TargetMode="External"/><Relationship Id="rId266" Type="http://schemas.openxmlformats.org/officeDocument/2006/relationships/hyperlink" Target="https://www.google.com/maps/@35.6593367,139.6987315,2a,75y,251.46h,95.23t/data=!3m6!1e1!3m4!1sLvweYFFgjI5l0maRgFrdRQ!2e0!7i13312!8i6656?coh=205409&amp;entry=ttu" TargetMode="External"/><Relationship Id="rId287" Type="http://schemas.openxmlformats.org/officeDocument/2006/relationships/hyperlink" Target="https://www.google.com/maps/dir/?api=1&amp;destination=35.6883648,139.5989436" TargetMode="External"/><Relationship Id="rId30" Type="http://schemas.openxmlformats.org/officeDocument/2006/relationships/hyperlink" Target="https://www.google.com/maps/@35.6619665,139.7007769,3a,75y,151.7h,110.59t/data=!3m6!1e1!3m4!1smzS4O7rQaXZR4-3gKCIDnw!2e0!7i16384!8i8192?entry=ttu" TargetMode="External"/><Relationship Id="rId105" Type="http://schemas.openxmlformats.org/officeDocument/2006/relationships/hyperlink" Target="https://www.google.com/maps/dir/?api=1&amp;destination=35.70028,139.62514" TargetMode="External"/><Relationship Id="rId126" Type="http://schemas.openxmlformats.org/officeDocument/2006/relationships/hyperlink" Target="https://maps.app.goo.gl/1QdkaYomQAoyYFWz5" TargetMode="External"/><Relationship Id="rId147" Type="http://schemas.openxmlformats.org/officeDocument/2006/relationships/hyperlink" Target="https://www.google.com/maps/dir/?api=1&amp;destination=35.68317,139.76506" TargetMode="External"/><Relationship Id="rId168" Type="http://schemas.openxmlformats.org/officeDocument/2006/relationships/hyperlink" Target="https://www.google.com/maps/@35.6634455,139.6994547,3a,63.5y,52.67h,89.98t/data=!3m7!1e1!3m5!1sWN67ae78EIq_Drw3Vco08Q!2e0!6shttps:%2F%2Fstreetviewpixels-pa.googleapis.com%2Fv1%2Fthumbnail%3Fcb_client%3Dmaps_sv.tactile%26w%3D900%26h%3D600%26pitch%3D0.02400645449148442%26panoid%3DWN67ae78EIq_Drw3Vco08Q%26yaw%3D52.665904257999806!7i16384!8i8192?hl=ko&amp;entry=ttu&amp;g_ep=EgoyMDI0MTIxMS4wIKXMDSoASAFQAw%3D%3D" TargetMode="External"/><Relationship Id="rId312" Type="http://schemas.openxmlformats.org/officeDocument/2006/relationships/hyperlink" Target="https://www.google.com/maps/@35.6834448,139.7016328,3a,90y,110.82h,125.55t/data=!3m7!1e1!3m5!1sBhK_ujgp8WF9d27fWs4wjg!2e0!6shttps:%2F%2Fstreetviewpixels-pa.googleapis.com%2Fv1%2Fthumbnail%3Fcb_client%3Dmaps_sv.tactile%26w%3D900%26h%3D600%26pitch%3D-35.54782268312563%26panoid%3DBhK_ujgp8WF9d27fWs4wjg%26yaw%3D110.81873806455411!7i16384!8i8192?entry=ttu&amp;g_ep=EgoyMDI1MDIwOS4wIKXMDSoASAFQAw%3D%3D" TargetMode="External"/><Relationship Id="rId333" Type="http://schemas.openxmlformats.org/officeDocument/2006/relationships/hyperlink" Target="https://www.google.com/maps/dir/?api=1&amp;destination=35.6925636,139.7217378" TargetMode="External"/><Relationship Id="rId354" Type="http://schemas.openxmlformats.org/officeDocument/2006/relationships/hyperlink" Target="https://www.google.com/maps/@35.6971044,139.705987,3a,90y,332.66h,81.76t/data=!3m6!1e1!3m4!1scbS6DbKXBWYXt1e_jaNxjA!2e0!7i16384!8i8192?entry=ttu" TargetMode="External"/><Relationship Id="rId51" Type="http://schemas.openxmlformats.org/officeDocument/2006/relationships/hyperlink" Target="https://www.google.com/maps/dir/?api=1&amp;destination=35.6853358,139.7300709" TargetMode="External"/><Relationship Id="rId72" Type="http://schemas.openxmlformats.org/officeDocument/2006/relationships/hyperlink" Target="https://www.google.com/maps/@35.6838122,139.7021384,3a,90y,307.38h,83.35t/data=!3m7!1e1!3m5!1sAF1QipMKMoSqDD0F6FnUnbimkVaVwCSPIWmFDKI7OeoP!2e10!6shttps:%2F%2Flh5.googleusercontent.com%2Fp%2FAF1QipMKMoSqDD0F6FnUnbimkVaVwCSPIWmFDKI7OeoP%3Dw900-h600-k-no-pi6.651875956410038-ya307.4717856940986-ro0-fo100!7i3584!8i1792?entry=ttu&amp;g_ep=EgoyMDI0MTIxMS4wIKXMDSoASAFQAw%3D%3D" TargetMode="External"/><Relationship Id="rId93" Type="http://schemas.openxmlformats.org/officeDocument/2006/relationships/hyperlink" Target="https://www.google.com/maps/dir/?api=1&amp;destination=35.68552,139.72368" TargetMode="External"/><Relationship Id="rId189" Type="http://schemas.openxmlformats.org/officeDocument/2006/relationships/hyperlink" Target="https://www.google.com/maps/dir/?api=1&amp;destination=35.67004,139.70269" TargetMode="External"/><Relationship Id="rId375" Type="http://schemas.openxmlformats.org/officeDocument/2006/relationships/hyperlink" Target="https://www.google.com/maps/dir/?api=1&amp;destination=35.694014,139.6994759" TargetMode="External"/><Relationship Id="rId396" Type="http://schemas.openxmlformats.org/officeDocument/2006/relationships/hyperlink" Target="https://www.google.com/maps/@35.7225701,139.7047449,3a,75y,311.62h,100.75t/data=!3m7!1e1!3m5!1sTCq8cT7_J3uE5SaSCVGftQ!2e0!6shttps:%2F%2Fstreetviewpixels-pa.googleapis.com%2Fv1%2Fthumbnail%3Fpanoid%3DTCq8cT7_J3uE5SaSCVGftQ%26cb_client%3Dmaps_sv.tactile.gps%26w%3D203%26h%3D100%26yaw%3D74.80323%26pitch%3D0%26thumbfov%3D100!7i16384!8i8192?entry=ttu" TargetMode="External"/><Relationship Id="rId3" Type="http://schemas.openxmlformats.org/officeDocument/2006/relationships/hyperlink" Target="https://www.google.com/maps/dir/?api=1&amp;destination=35.68057,139.76605" TargetMode="External"/><Relationship Id="rId214" Type="http://schemas.openxmlformats.org/officeDocument/2006/relationships/hyperlink" Target="https://www.google.com/maps/@35.6567805,139.6994801,3a,75y,79.51h,95.94t/data=!3m6!1e1!3m4!1suAg21anIC_ebReh7UAJKcQ!2e0!7i16384!8i8192?coh=205409&amp;entry=ttu" TargetMode="External"/><Relationship Id="rId235" Type="http://schemas.openxmlformats.org/officeDocument/2006/relationships/hyperlink" Target="https://www.google.com/maps/dir/?api=1&amp;destination=35.6577,139.69965" TargetMode="External"/><Relationship Id="rId256" Type="http://schemas.openxmlformats.org/officeDocument/2006/relationships/hyperlink" Target="https://www.google.com/maps/@35.6599949,139.7022886,2a,75y,355.99h,92.19t/data=!3m6!1e1!3m4!1sHoI9RjUq8AQr26iB7AZhBA!2e0!7i13312!8i6656?entry=ttu" TargetMode="External"/><Relationship Id="rId277" Type="http://schemas.openxmlformats.org/officeDocument/2006/relationships/hyperlink" Target="https://www.google.com/maps/dir/?api=1&amp;destination=35.70001,139.74356" TargetMode="External"/><Relationship Id="rId298" Type="http://schemas.openxmlformats.org/officeDocument/2006/relationships/hyperlink" Target="https://www.google.com/maps/@35.6580556,139.4969444,3a,40.7y,95.05h,77.81t/data=!3m8!1e1!3m6!1sAF1QipMP597WlKJZtH18JtECwjRqte386duMm_kih6fc!2e10!3e11!6shttps:%2F%2Flh5.googleusercontent.com%2Fp%2FAF1QipMP597WlKJZtH18JtECwjRqte386duMm_kih6fc%3Dw203-h100-k-no-pi0-ya128.09534-ro0-fo100!7i14400!8i7200?entry=ttu" TargetMode="External"/><Relationship Id="rId400" Type="http://schemas.openxmlformats.org/officeDocument/2006/relationships/hyperlink" Target="https://www.google.com/maps/@35.7182585,139.7053724,3a,90y,343.06h,93.07t/data=!3m7!1e1!3m5!1sr9ggeQ_Qrojq9yXgoF-MXw!2e0!6shttps:%2F%2Fstreetviewpixels-pa.googleapis.com%2Fv1%2Fthumbnail%3Fcb_client%3Dmaps_sv.tactile%26w%3D900%26h%3D600%26pitch%3D-3.0667795985294504%26panoid%3Dr9ggeQ_Qrojq9yXgoF-MXw%26yaw%3D343.06463907636953!7i16384!8i8192?entry=ttu&amp;g_ep=EgoyMDI1MDIwOS4wIKXMDSoASAFQAw%3D%3D" TargetMode="External"/><Relationship Id="rId116" Type="http://schemas.openxmlformats.org/officeDocument/2006/relationships/hyperlink" Target="https://maps.app.goo.gl/rUjPb8shBESmqBUM9" TargetMode="External"/><Relationship Id="rId137" Type="http://schemas.openxmlformats.org/officeDocument/2006/relationships/hyperlink" Target="https://www.google.com/maps/dir/?api=1&amp;destination=35.70663,139.58061" TargetMode="External"/><Relationship Id="rId158" Type="http://schemas.openxmlformats.org/officeDocument/2006/relationships/hyperlink" Target="https://www.google.com/maps/@35.6625049,139.6970705,3a,90y,285.22h,78.32t/data=!3m7!1e1!3m5!1siaXEZiUUi4O6Gq3_J9HTRw!2e0!6shttps:%2F%2Fstreetviewpixels-pa.googleapis.com%2Fv1%2Fthumbnail%3Fcb_client%3Dmaps_sv.tactile%26w%3D900%26h%3D600%26pitch%3D11.676219773141113%26panoid%3DiaXEZiUUi4O6Gq3_J9HTRw%26yaw%3D285.2206208025664!7i16384!8i8192?hl=ko&amp;entry=ttu&amp;g_ep=EgoyMDI0MTIxMS4wIKXMDSoASAFQAw%3D%3D" TargetMode="External"/><Relationship Id="rId302" Type="http://schemas.openxmlformats.org/officeDocument/2006/relationships/hyperlink" Target="https://www.google.com/maps/@35.6922656,139.7009368,3a,90y,272.57h,93.77t/data=!3m7!1e1!3m5!1s0Ad3f4Fb5jBxRQu_BRIqDg!2e0!6shttps:%2F%2Fstreetviewpixels-pa.googleapis.com%2Fv1%2Fthumbnail%3Fcb_client%3Dmaps_sv.tactile%26w%3D900%26h%3D600%26pitch%3D-3.7695916271847665%26panoid%3D0Ad3f4Fb5jBxRQu_BRIqDg%26yaw%3D272.57420771694626!7i16384!8i8192?entry=ttu&amp;g_ep=EgoyMDI0MTIxMS4wIKXMDSoASAFQAw%3D%3D" TargetMode="External"/><Relationship Id="rId323" Type="http://schemas.openxmlformats.org/officeDocument/2006/relationships/hyperlink" Target="https://www.google.com/maps/dir/?api=1&amp;destination=35.69468,139.70131" TargetMode="External"/><Relationship Id="rId344" Type="http://schemas.openxmlformats.org/officeDocument/2006/relationships/hyperlink" Target="https://www.google.com/maps/@35.6796281,139.7155479,3a,90y,206.47h,100.78t/data=!3m7!1e1!3m5!1su9nQZjrlncWh47ySvfN1Cg!2e0!6shttps:%2F%2Fstreetviewpixels-pa.googleapis.com%2Fv1%2Fthumbnail%3Fcb_client%3Dmaps_sv.tactile%26w%3D900%26h%3D600%26pitch%3D-10.7769824640841%26panoid%3Du9nQZjrlncWh47ySvfN1Cg%26yaw%3D206.47025156191185!7i16384!8i8192?entry=ttu&amp;g_ep=EgoyMDI1MDIwOS4wIKXMDSoASAFQAw%3D%3D" TargetMode="External"/><Relationship Id="rId20" Type="http://schemas.openxmlformats.org/officeDocument/2006/relationships/hyperlink" Target="https://www.google.com/maps/@35.7001277,139.7634609,3a,78.6y,189.96h,107.25t/data=!3m7!1e1!3m5!1sRLnO2_73jG2L58l-SL6STg!2e0!6shttps:%2F%2Fstreetviewpixels-pa.googleapis.com%2Fv1%2Fthumbnail%3Fcb_client%3Dmaps_sv.tactile%26w%3D900%26h%3D600%26pitch%3D-17.254888552643123%26panoid%3DRLnO2_73jG2L58l-SL6STg%26yaw%3D189.9599668398853!7i16384!8i8192?hl=ko&amp;entry=ttu&amp;g_ep=EgoyMDI0MTIxMS4wIKXMDSoASAFQAw%3D%3D" TargetMode="External"/><Relationship Id="rId41" Type="http://schemas.openxmlformats.org/officeDocument/2006/relationships/hyperlink" Target="https://www.google.com/maps/dir/?api=1&amp;destination=35.67517,139.71947" TargetMode="External"/><Relationship Id="rId62" Type="http://schemas.openxmlformats.org/officeDocument/2006/relationships/hyperlink" Target="https://www.google.com/maps/@35.6804465,139.7664628,2a,90y,195.29h,89.5t/data=!3m7!1e1!3m5!1sbwpAtuhNzdcnUMP3RMqjZA!2e0!6shttps:%2F%2Fstreetviewpixels-pa.googleapis.com%2Fv1%2Fthumbnail%3Fcb_client%3Dmaps_sv.tactile%26w%3D900%26h%3D600%26pitch%3D0.4958877596429687%26panoid%3DbwpAtuhNzdcnUMP3RMqjZA%26yaw%3D195.29194919569647!7i13312!8i6656?hl=ko&amp;entry=ttu&amp;g_ep=EgoyMDI0MTIxMS4wIKXMDSoASAFQAw%3D%3D" TargetMode="External"/><Relationship Id="rId83" Type="http://schemas.openxmlformats.org/officeDocument/2006/relationships/hyperlink" Target="https://www.google.com/maps/dir/?api=1&amp;destination=35.67856,139.7054" TargetMode="External"/><Relationship Id="rId179" Type="http://schemas.openxmlformats.org/officeDocument/2006/relationships/hyperlink" Target="https://www.google.com/maps/dir/?api=1&amp;destination=35.69965,139.41419" TargetMode="External"/><Relationship Id="rId365" Type="http://schemas.openxmlformats.org/officeDocument/2006/relationships/hyperlink" Target="https://www.google.com/maps/dir/?api=1&amp;destination=35.6595,139.70059" TargetMode="External"/><Relationship Id="rId386" Type="http://schemas.openxmlformats.org/officeDocument/2006/relationships/hyperlink" Target="https://www.google.com/maps/@35.7342288,139.7131889,3a,75y,227.53h,99.59t/data=!3m7!1e1!3m5!1sX4gf8GNZwzAXsceiLarUKg!2e0!6shttps:%2F%2Fstreetviewpixels-pa.googleapis.com%2Fv1%2Fthumbnail%3Fpanoid%3DX4gf8GNZwzAXsceiLarUKg%26cb_client%3Dmaps_sv.tactile.gps%26w%3D203%26h%3D100%26yaw%3D83.02426%26pitch%3D0%26thumbfov%3D100!7i16384!8i8192?entry=ttu" TargetMode="External"/><Relationship Id="rId190" Type="http://schemas.openxmlformats.org/officeDocument/2006/relationships/hyperlink" Target="https://www.google.com/maps/@35.6700054,139.7028264,3a,75y,278.65h,96.28t/data=!3m6!1e1!3m4!1s0LbwAxswT3YGIXlZWliD4g!2e0!7i16384!8i8192?entry=ttu" TargetMode="External"/><Relationship Id="rId204" Type="http://schemas.openxmlformats.org/officeDocument/2006/relationships/hyperlink" Target="https://www.google.com/maps/@35.6607839,139.7022416,3a,75y,267.32h,95.31t/data=!3m7!1e1!3m5!1sCuI9X0rr1uIv1FjuTk4wZQ!2e0!6shttps:%2F%2Fstreetviewpixels-pa.googleapis.com%2Fv1%2Fthumbnail%3Fpanoid%3DCuI9X0rr1uIv1FjuTk4wZQ%26cb_client%3Dmaps_sv.tactile.gps%26w%3D203%26h%3D100%26yaw%3D359.6325%26pitch%3D0%26thumbfov%3D100!7i16384!8i8192?coh=205409&amp;entry=ttu" TargetMode="External"/><Relationship Id="rId225" Type="http://schemas.openxmlformats.org/officeDocument/2006/relationships/hyperlink" Target="https://www.google.com/maps/dir/?api=1&amp;destination=35.6583124,139.6984803" TargetMode="External"/><Relationship Id="rId246" Type="http://schemas.openxmlformats.org/officeDocument/2006/relationships/hyperlink" Target="https://www.google.com/maps/@35.6596047,139.6992882,3a,90y,34.91h,97.73t/data=!3m7!1e1!3m5!1sgtUNzMLuwqZuYSDeJMtb0Q!2e0!6shttps:%2F%2Fstreetviewpixels-pa.googleapis.com%2Fv1%2Fthumbnail%3Fcb_client%3Dmaps_sv.tactile%26w%3D900%26h%3D600%26pitch%3D-7.72722762577402%26panoid%3DgtUNzMLuwqZuYSDeJMtb0Q%26yaw%3D34.909120346688276!7i16384!8i8192?hl=ko&amp;entry=ttu&amp;g_ep=EgoyMDI0MTIxMS4wIKXMDSoASAFQAw%3D%3D" TargetMode="External"/><Relationship Id="rId267" Type="http://schemas.openxmlformats.org/officeDocument/2006/relationships/hyperlink" Target="https://www.google.com/maps/dir/?api=1&amp;destination=35.65958,139.69919" TargetMode="External"/><Relationship Id="rId288" Type="http://schemas.openxmlformats.org/officeDocument/2006/relationships/hyperlink" Target="https://www.google.com/maps/@35.6883648,139.5989436,2a,75y,308.07h,91.76t/data=!3m6!1e1!3m4!1sYU4mZ696f7Lc_ra37JMfrg!2e0!7i13312!8i6656?entry=ttu" TargetMode="External"/><Relationship Id="rId106" Type="http://schemas.openxmlformats.org/officeDocument/2006/relationships/hyperlink" Target="https://maps.app.goo.gl/2RMdaVB3NvXpdQF57" TargetMode="External"/><Relationship Id="rId127" Type="http://schemas.openxmlformats.org/officeDocument/2006/relationships/hyperlink" Target="https://www.google.com/maps/dir/?api=1&amp;destination=35.68289,139.70187" TargetMode="External"/><Relationship Id="rId313" Type="http://schemas.openxmlformats.org/officeDocument/2006/relationships/hyperlink" Target="https://www.google.com/maps/dir/?api=1&amp;destination=35.6544304,139.7631092" TargetMode="External"/><Relationship Id="rId10" Type="http://schemas.openxmlformats.org/officeDocument/2006/relationships/hyperlink" Target="https://www.google.com/maps/@35.7027811,139.757694,3a,75y,182.46h,84.87t/data=!3m6!1e1!3m4!1s9Z0_JxbU7_Pi60KE82GCLw!2e0!7i16384!8i8192?entry=ttu" TargetMode="External"/><Relationship Id="rId31" Type="http://schemas.openxmlformats.org/officeDocument/2006/relationships/hyperlink" Target="https://www.google.com/maps/dir/?api=1&amp;destination=35.69096,139.69646" TargetMode="External"/><Relationship Id="rId52" Type="http://schemas.openxmlformats.org/officeDocument/2006/relationships/hyperlink" Target="https://www.google.com/maps/@35.6853358,139.7300709,2a,75y,315.21h,99.46t/data=!3m7!1e1!3m5!1s0zM-Y-YNnNCTScH1S215OA!2e0!6shttps:%2F%2Fstreetviewpixels-pa.googleapis.com%2Fv1%2Fthumbnail%3Fpanoid%3D0zM-Y-YNnNCTScH1S215OA%26cb_client%3Dmaps_sv.tactile.gps%26w%3D203%26h%3D100%26yaw%3D203.3474%26pitch%3D0%26thumbfov%3D100!7i13312!8i6656?entry=ttu" TargetMode="External"/><Relationship Id="rId73" Type="http://schemas.openxmlformats.org/officeDocument/2006/relationships/hyperlink" Target="https://www.google.com/maps/dir/?api=1&amp;destination=35.67882,139.73625" TargetMode="External"/><Relationship Id="rId94" Type="http://schemas.openxmlformats.org/officeDocument/2006/relationships/hyperlink" Target="https://www.google.com/maps/@35.6856604,139.7237803,3a,75y,210.07h,89.35t/data=!3m7!1e1!3m5!1szoqYt5wgelhemqJq4IA68g!2e0!6shttps:%2F%2Fstreetviewpixels-pa.googleapis.com%2Fv1%2Fthumbnail%3Fpanoid%3DzoqYt5wgelhemqJq4IA68g%26cb_client%3Dmaps_sv.tactile.gps%26w%3D203%26h%3D100%26yaw%3D63.52962%26pitch%3D0%26thumbfov%3D100!7i16384!8i8192?entry=ttu" TargetMode="External"/><Relationship Id="rId148" Type="http://schemas.openxmlformats.org/officeDocument/2006/relationships/hyperlink" Target="https://maps.app.goo.gl/ppUMVFQwCzim26dZ7" TargetMode="External"/><Relationship Id="rId169" Type="http://schemas.openxmlformats.org/officeDocument/2006/relationships/hyperlink" Target="https://www.google.com/maps/dir/?api=1&amp;destination=35.66219,139.69747" TargetMode="External"/><Relationship Id="rId334" Type="http://schemas.openxmlformats.org/officeDocument/2006/relationships/hyperlink" Target="https://www.google.com/maps/@35.6925636,139.7217378,3a,90y,144.64h,97.79t/data=!3m7!1e1!3m5!1sRNzKpwcQ0vUFDXfCQQXRuQ!2e0!6shttps:%2F%2Fstreetviewpixels-pa.googleapis.com%2Fv1%2Fthumbnail%3Fpanoid%3DRNzKpwcQ0vUFDXfCQQXRuQ%26cb_client%3Dmaps_sv.tactile.gps%26w%3D203%26h%3D100%26yaw%3D137.00308%26pitch%3D0%26thumbfov%3D100!7i16384!8i8192?entry=ttu" TargetMode="External"/><Relationship Id="rId355" Type="http://schemas.openxmlformats.org/officeDocument/2006/relationships/hyperlink" Target="https://www.google.com/maps/dir/?api=1&amp;destination=35.67136,139.76546" TargetMode="External"/><Relationship Id="rId376" Type="http://schemas.openxmlformats.org/officeDocument/2006/relationships/hyperlink" Target="https://www.google.com/maps/@35.694014,139.6994759,3a,75y,145.93h,91.8t/data=!3m7!1e1!3m5!1s9ZAYuc8ozD6t43LIp2hd_w!2e0!6shttps:%2F%2Fstreetviewpixels-pa.googleapis.com%2Fv1%2Fthumbnail%3Fpanoid%3D9ZAYuc8ozD6t43LIp2hd_w%26cb_client%3Dmaps_sv.tactile.gps%26w%3D203%26h%3D100%26yaw%3D342.75446%26pitch%3D0%26thumbfov%3D100!7i16384!8i8192?entry=ttu" TargetMode="External"/><Relationship Id="rId397" Type="http://schemas.openxmlformats.org/officeDocument/2006/relationships/hyperlink" Target="https://www.google.com/maps/dir/?api=1&amp;destination=35.7216478,139.7063338" TargetMode="External"/><Relationship Id="rId4" Type="http://schemas.openxmlformats.org/officeDocument/2006/relationships/hyperlink" Target="https://www.google.com/maps/@35.6805413,139.7660844,2a,90y,349.1h,91.31t/data=!3m7!1e1!3m5!1sHwGQSOb8lkFz0Ypyyb3VQA!2e0!6shttps:%2F%2Fstreetviewpixels-pa.googleapis.com%2Fv1%2Fthumbnail%3Fcb_client%3Dmaps_sv.tactile%26w%3D900%26h%3D600%26pitch%3D-1.3112471199084155%26panoid%3DHwGQSOb8lkFz0Ypyyb3VQA%26yaw%3D349.1006529490732!7i13312!8i6656?hl=ko&amp;entry=ttu&amp;g_ep=EgoyMDI0MTIxMS4wIKXMDSoASAFQAw%3D%3D" TargetMode="External"/><Relationship Id="rId180" Type="http://schemas.openxmlformats.org/officeDocument/2006/relationships/hyperlink" Target="https://www.google.com/maps/@35.6996993,139.4143058,3a,90y,284.08h,92.33t/data=!3m7!1e1!3m5!1s_c6oeEoxUIE9fzFSy5_KFw!2e0!6shttps:%2F%2Fstreetviewpixels-pa.googleapis.com%2Fv1%2Fthumbnail%3Fcb_client%3Dmaps_sv.tactile%26w%3D900%26h%3D600%26pitch%3D-2.3302112362289336%26panoid%3D_c6oeEoxUIE9fzFSy5_KFw%26yaw%3D284.0783911315814!7i16384!8i8192?entry=ttu&amp;g_ep=EgoyMDI0MTIxMS4wIKXMDSoASAFQAw%3D%3D" TargetMode="External"/><Relationship Id="rId215" Type="http://schemas.openxmlformats.org/officeDocument/2006/relationships/hyperlink" Target="https://www.google.com/maps/dir/?api=1&amp;destination=35.6594424,139.6954747" TargetMode="External"/><Relationship Id="rId236" Type="http://schemas.openxmlformats.org/officeDocument/2006/relationships/hyperlink" Target="https://www.google.com/maps/@35.6577771,139.6995635,3a,25.3y,136.5h,91.14t/data=!3m6!1e1!3m4!1spEZnt6n6dSDMkUKTfLB9Ew!2e0!7i16384!8i8192?coh=205409&amp;entry=ttu" TargetMode="External"/><Relationship Id="rId257" Type="http://schemas.openxmlformats.org/officeDocument/2006/relationships/hyperlink" Target="https://www.google.com/maps/dir/?api=1&amp;destination=35.65978,139.69775" TargetMode="External"/><Relationship Id="rId278" Type="http://schemas.openxmlformats.org/officeDocument/2006/relationships/hyperlink" Target="https://www.google.com/maps/@35.7000308,139.7436388,3a,90y,29.49h,104.31t/data=!3m7!1e1!3m5!1sOSbfS89Nv9DGg3I_l9bATQ!2e0!6shttps:%2F%2Fstreetviewpixels-pa.googleapis.com%2Fv1%2Fthumbnail%3Fcb_client%3Dmaps_sv.tactile%26w%3D900%26h%3D600%26pitch%3D-14.313436186444704%26panoid%3DOSbfS89Nv9DGg3I_l9bATQ%26yaw%3D29.487484135128295!7i16384!8i8192?hl=ko&amp;entry=ttu&amp;g_ep=EgoyMDI0MTIxMS4wIKXMDSoASAFQAw%3D%3D" TargetMode="External"/><Relationship Id="rId401" Type="http://schemas.openxmlformats.org/officeDocument/2006/relationships/hyperlink" Target="https://www.google.com/maps/dir/?api=1&amp;destination=34.2039565,139.1337631" TargetMode="External"/><Relationship Id="rId303" Type="http://schemas.openxmlformats.org/officeDocument/2006/relationships/hyperlink" Target="https://www.google.com/maps/dir/?api=1&amp;destination=35.69297,139.69934" TargetMode="External"/><Relationship Id="rId42" Type="http://schemas.openxmlformats.org/officeDocument/2006/relationships/hyperlink" Target="https://www.google.com/maps/@35.6751315,139.7195682,3a,75y,331.82h,94.35t/data=!3m7!1e1!3m5!1sHom83xBxajtdN0FT_4eIgg!2e0!5s20140701T000000!7i13312!8i6656?entry=ttu" TargetMode="External"/><Relationship Id="rId84" Type="http://schemas.openxmlformats.org/officeDocument/2006/relationships/hyperlink" Target="https://www.google.com/maps/place/%EA%B8%B0%ED%83%80%EC%82%B0%EB%8F%84+%EC%97%AD/@35.6785909,139.7054205,2a,90y,295.05h,92.3t/data=!3m7!1e1!3m5!1sBjkTB49IIPyolTx-rAMK8g!2e0!6shttps:%2F%2Fstreetviewpixels-pa.googleapis.com%2Fv1%2Fthumbnail%3Fcb_client%3Dmaps_sv.tactile%26w%3D900%26h%3D600%26pitch%3D-2.301613076696256%26panoid%3DBjkTB49IIPyolTx-rAMK8g%26yaw%3D295.0528947254521!7i13312!8i6656!4m9!3m8!1s0x60188cb8da369c85:0x6027e52dad5dde17!8m2!3d35.6783688!4d139.7055537!10e5!14m1!1BCgIgARICCAI!16s%2Fm%2F043ksxv?hl=ko&amp;entry=ttu&amp;g_ep=EgoyMDI0MTIxMS4wIKXMDSoASAFQAw%3D%3D" TargetMode="External"/><Relationship Id="rId138" Type="http://schemas.openxmlformats.org/officeDocument/2006/relationships/hyperlink" Target="https://maps.app.goo.gl/PTZorPKHGy2mG73S8" TargetMode="External"/><Relationship Id="rId345" Type="http://schemas.openxmlformats.org/officeDocument/2006/relationships/hyperlink" Target="https://www.google.com/maps/dir/?api=1&amp;destination=35.69502,139.70387" TargetMode="External"/><Relationship Id="rId387" Type="http://schemas.openxmlformats.org/officeDocument/2006/relationships/hyperlink" Target="https://www.google.com/maps/dir/?api=1&amp;destination=35.7341219,139.7138218" TargetMode="External"/><Relationship Id="rId191" Type="http://schemas.openxmlformats.org/officeDocument/2006/relationships/hyperlink" Target="https://www.google.com/maps/dir/?api=1&amp;destination=35.6693,139.70375" TargetMode="External"/><Relationship Id="rId205" Type="http://schemas.openxmlformats.org/officeDocument/2006/relationships/hyperlink" Target="https://www.google.com/maps/dir/?api=1&amp;destination=35.6615258,139.7007873" TargetMode="External"/><Relationship Id="rId247" Type="http://schemas.openxmlformats.org/officeDocument/2006/relationships/hyperlink" Target="https://www.google.com/maps/dir/?api=1&amp;destination=35.65953,139.70049" TargetMode="External"/><Relationship Id="rId107" Type="http://schemas.openxmlformats.org/officeDocument/2006/relationships/hyperlink" Target="https://www.google.com/maps/dir/?api=1&amp;destination=35.70271,139.5792" TargetMode="External"/><Relationship Id="rId289" Type="http://schemas.openxmlformats.org/officeDocument/2006/relationships/hyperlink" Target="https://www.google.com/maps/dir/?api=1&amp;destination=35.684056,139.774598" TargetMode="External"/><Relationship Id="rId11" Type="http://schemas.openxmlformats.org/officeDocument/2006/relationships/hyperlink" Target="https://www.google.com/maps/dir/?api=1&amp;destination=35.70201,139.7608" TargetMode="External"/><Relationship Id="rId53" Type="http://schemas.openxmlformats.org/officeDocument/2006/relationships/hyperlink" Target="https://www.google.com/maps/dir/?api=1&amp;destination=35.66007,139.72929" TargetMode="External"/><Relationship Id="rId149" Type="http://schemas.openxmlformats.org/officeDocument/2006/relationships/hyperlink" Target="https://www.google.com/maps/dir/?api=1&amp;destination=35.70441,139.63637" TargetMode="External"/><Relationship Id="rId314" Type="http://schemas.openxmlformats.org/officeDocument/2006/relationships/hyperlink" Target="https://www.google.com/maps/@35.6544304,139.7631092,3a,75y,308.43h,97.47t/data=!3m6!1e1!3m4!1sCAWkp-XGW2HT-cCDf1u9-g!2e0!7i16384!8i8192?entry=ttu" TargetMode="External"/><Relationship Id="rId356" Type="http://schemas.openxmlformats.org/officeDocument/2006/relationships/hyperlink" Target="https://www.google.com/maps/@35.6713047,139.7652062,3a,90y,282.44h,132.16t/data=!3m7!1e1!3m5!1sw_q9_MeqciqYrZNxS817-g!2e0!6shttps:%2F%2Fstreetviewpixels-pa.googleapis.com%2Fv1%2Fthumbnail%3Fcb_client%3Dmaps_sv.tactile%26w%3D900%26h%3D600%26pitch%3D-42.16299200152204%26panoid%3Dw_q9_MeqciqYrZNxS817-g%26yaw%3D282.4421036748827!7i16384!8i8192?entry=ttu&amp;g_ep=EgoyMDI1MDIwOS4wIKXMDSoASAFQAw%3D%3D" TargetMode="External"/><Relationship Id="rId398" Type="http://schemas.openxmlformats.org/officeDocument/2006/relationships/hyperlink" Target="https://www.google.com/maps/@35.7216478,139.7063338,3a,90y,87.95h,104.96t/data=!3m6!1e1!3m4!1sOAE366tvN1TUR6WyiEchnw!2e0!7i16384!8i8192?entry=ttu" TargetMode="External"/><Relationship Id="rId95" Type="http://schemas.openxmlformats.org/officeDocument/2006/relationships/hyperlink" Target="https://www.google.com/maps/dir/?api=1&amp;destination=35.68505,139.72333" TargetMode="External"/><Relationship Id="rId160" Type="http://schemas.openxmlformats.org/officeDocument/2006/relationships/hyperlink" Target="https://www.google.com/maps/place/HICOLLECT+%E6%B8%8B%E8%B0%B7%E5%BA%97/@35.6625514,139.6975031,3a,75y,217.36h,92.08t/data=!3m6!1e1!3m4!1sS8a81rz8Y3G8j06L_kSNWg!2e0!7i16384!8i8192!4m14!1m7!3m6!1s0x60188da5951d3dd3:0xd861d5d018b01077!2zSElDT0xMRUNUIOa4i-iwt-W6lw!8m2!3d35.6625791!4d139.6976583!16s%2Fg%2F11tjs7b78s!3m5!1s0x60188da5951d3dd3:0xd861d5d018b01077!8m2!3d35.6625791!4d139.6976583!16s%2Fg%2F11tjs7b78s?coh=205409&amp;entry=ttu" TargetMode="External"/><Relationship Id="rId216" Type="http://schemas.openxmlformats.org/officeDocument/2006/relationships/hyperlink" Target="https://www.google.com/maps/@35.6594424,139.6954747,3a,75y,15.84h,97.38t/data=!3m6!1e1!3m4!1sAwt08dhPiX6ZASSm0EJ_-g!2e0!7i16384!8i8192?coh=205409&amp;entry=ttu" TargetMode="External"/><Relationship Id="rId258" Type="http://schemas.openxmlformats.org/officeDocument/2006/relationships/hyperlink" Target="https://www.google.com/maps/@35.6597892,139.6977585,3a,90y,352.83h,94.83t/data=!3m7!1e1!3m5!1snVj3I4AN8cHHF1e3BmlbuA!2e0!6shttps:%2F%2Fstreetviewpixels-pa.googleapis.com%2Fv1%2Fthumbnail%3Fcb_client%3Dmaps_sv.tactile%26w%3D900%26h%3D600%26pitch%3D-4.829260647969534%26panoid%3DnVj3I4AN8cHHF1e3BmlbuA%26yaw%3D352.82557652003675!7i16384!8i8192?hl=en&amp;entry=ttu&amp;g_ep=EgoyMDI0MTIxMS4wIKXMDSoASAFQAw%3D%3D" TargetMode="External"/><Relationship Id="rId22" Type="http://schemas.openxmlformats.org/officeDocument/2006/relationships/hyperlink" Target="https://www.google.com/maps/@35.6989197,139.7628532,3a,48.8y,83.88h,106.31t/data=!3m7!1e1!3m5!1so254s9uB1KCTjubc4RYuDg!2e0!6shttps:%2F%2Fstreetviewpixels-pa.googleapis.com%2Fv1%2Fthumbnail%3Fcb_client%3Dmaps_sv.tactile%26w%3D900%26h%3D600%26pitch%3D-16.313324287282%26panoid%3Do254s9uB1KCTjubc4RYuDg%26yaw%3D83.87852061254789!7i16384!8i8192?hl=ko&amp;entry=ttu&amp;g_ep=EgoyMDI0MTIxMS4wIKXMDSoASAFQAw%3D%3D" TargetMode="External"/><Relationship Id="rId64" Type="http://schemas.openxmlformats.org/officeDocument/2006/relationships/hyperlink" Target="https://www.google.com/maps/@35.6803927,139.7670858,2a,75y,130.45h,95.45t/data=!3m7!1e1!3m5!1sOl7I4uMZK-71zaI7EjmNsA!2e0!6shttps:%2F%2Fstreetviewpixels-pa.googleapis.com%2Fv1%2Fthumbnail%3Fcb_client%3Dmaps_sv.tactile%26w%3D900%26h%3D600%26pitch%3D-5.446922747480286%26panoid%3DOl7I4uMZK-71zaI7EjmNsA%26yaw%3D130.4488836354226!7i13312!8i6656?entry=ttu&amp;g_ep=EgoyMDI0MTIxMS4wIKXMDSoASAFQAw%3D%3D" TargetMode="External"/><Relationship Id="rId118" Type="http://schemas.openxmlformats.org/officeDocument/2006/relationships/hyperlink" Target="https://maps.app.goo.gl/HFwxXqfzhh2zAYkr6" TargetMode="External"/><Relationship Id="rId325" Type="http://schemas.openxmlformats.org/officeDocument/2006/relationships/hyperlink" Target="https://www.google.com/maps/dir/?api=1&amp;destination=35.695402,139.7015227" TargetMode="External"/><Relationship Id="rId367" Type="http://schemas.openxmlformats.org/officeDocument/2006/relationships/hyperlink" Target="https://www.google.com/maps/dir/?api=1&amp;destination=35.63331,139.79565" TargetMode="External"/><Relationship Id="rId171" Type="http://schemas.openxmlformats.org/officeDocument/2006/relationships/hyperlink" Target="https://www.google.com/maps/dir/?api=1&amp;destination=35.6575,139.70187" TargetMode="External"/><Relationship Id="rId227" Type="http://schemas.openxmlformats.org/officeDocument/2006/relationships/hyperlink" Target="https://www.google.com/maps/dir/?api=1&amp;destination=35.6587713,139.7002641" TargetMode="External"/><Relationship Id="rId269" Type="http://schemas.openxmlformats.org/officeDocument/2006/relationships/hyperlink" Target="https://www.google.com/maps/dir/?api=1&amp;destination=35.6594507,139.7003243" TargetMode="External"/><Relationship Id="rId33" Type="http://schemas.openxmlformats.org/officeDocument/2006/relationships/hyperlink" Target="https://www.google.com/maps/dir/?api=1&amp;destination=35.69371,139.70093" TargetMode="External"/><Relationship Id="rId129" Type="http://schemas.openxmlformats.org/officeDocument/2006/relationships/hyperlink" Target="https://www.google.com/maps/dir/?api=1&amp;destination=35.69325,139.70229" TargetMode="External"/><Relationship Id="rId280" Type="http://schemas.openxmlformats.org/officeDocument/2006/relationships/hyperlink" Target="https://www.google.com/maps/@35.6678018,139.7811814,3a,90y,225.56h,100.81t/data=!3m7!1e1!3m5!1s-lbQiqEU_SZKjNIA_0m-vw!2e0!6shttps:%2F%2Fstreetviewpixels-pa.googleapis.com%2Fv1%2Fthumbnail%3Fcb_client%3Dmaps_sv.tactile%26w%3D900%26h%3D600%26pitch%3D-10.813705251670825%26panoid%3D-lbQiqEU_SZKjNIA_0m-vw%26yaw%3D225.55914746450767!7i16384!8i8192?entry=ttu&amp;g_ep=EgoyMDI0MTIxMS4wIKXMDSoASAFQAw%3D%3D" TargetMode="External"/><Relationship Id="rId336" Type="http://schemas.openxmlformats.org/officeDocument/2006/relationships/hyperlink" Target="https://www.google.com/maps/@35.7055335,139.7354207,3a,75y,165.6h,100.74t/data=!3m6!1e1!3m4!1skakC6UBipqLw3pCBJ1pErw!2e0!7i16384!8i8192?entry=ttu" TargetMode="External"/><Relationship Id="rId75" Type="http://schemas.openxmlformats.org/officeDocument/2006/relationships/hyperlink" Target="https://www.google.com/maps/dir/?api=1&amp;destination=35.67763,139.73691" TargetMode="External"/><Relationship Id="rId140" Type="http://schemas.openxmlformats.org/officeDocument/2006/relationships/hyperlink" Target="https://maps.app.goo.gl/AvYLx8MV4euy29si7" TargetMode="External"/><Relationship Id="rId182" Type="http://schemas.openxmlformats.org/officeDocument/2006/relationships/hyperlink" Target="https://www.google.com/maps/@35.6614361,139.702142,3a,75y,85.46h,92.4t/data=!3m7!1e1!3m5!1s2EIASsLeOnVkLowBBW_TVg!2e0!6shttps:%2F%2Fstreetviewpixels-pa.googleapis.com%2Fv1%2Fthumbnail%3Fcb_client%3Dmaps_sv.tactile%26w%3D900%26h%3D600%26pitch%3D-2.396828309939295%26panoid%3D2EIASsLeOnVkLowBBW_TVg%26yaw%3D85.45697019188825!7i16384!8i8192?entry=ttu&amp;g_ep=EgoyMDI0MTIxMS4wIKXMDSoASAFQAw%3D%3D" TargetMode="External"/><Relationship Id="rId378" Type="http://schemas.openxmlformats.org/officeDocument/2006/relationships/hyperlink" Target="https://www.google.com/maps/@35.6937875,139.8284809,3a,90y,90.98h,96.63t/data=!3m7!1e1!3m5!1s3EuqHvR8ZTg3Tokmf5LAaw!2e0!6shttps:%2F%2Fstreetviewpixels-pa.googleapis.com%2Fv1%2Fthumbnail%3Fcb_client%3Dmaps_sv.tactile%26w%3D900%26h%3D600%26pitch%3D-6.634284195057177%26panoid%3D3EuqHvR8ZTg3Tokmf5LAaw%26yaw%3D90.97590739378491!7i16384!8i8192?entry=ttu&amp;g_ep=EgoyMDI1MDIwOS4wIKXMDSoASAFQAw%3D%3D" TargetMode="External"/><Relationship Id="rId403" Type="http://schemas.openxmlformats.org/officeDocument/2006/relationships/hyperlink" Target="https://www.google.com/maps/dir/?api=1&amp;destination=35.7369932,139.7618643" TargetMode="External"/><Relationship Id="rId6" Type="http://schemas.openxmlformats.org/officeDocument/2006/relationships/hyperlink" Target="https://www.google.com/maps/@35.6815329,139.7663436,2a,90y,171.41h,95.6t/data=!3m7!1e1!3m5!1sPo4DNniHj2HsgbpuA_lQKA!2e0!6shttps:%2F%2Fstreetviewpixels-pa.googleapis.com%2Fv1%2Fthumbnail%3Fcb_client%3Dmaps_sv.tactile%26w%3D900%26h%3D600%26pitch%3D-5.602276318302685%26panoid%3DPo4DNniHj2HsgbpuA_lQKA%26yaw%3D171.41155212300345!7i13312!8i6656?entry=ttu&amp;g_ep=EgoyMDI0MTIxMS4wIKXMDSoASAFQAw%3D%3D" TargetMode="External"/><Relationship Id="rId238" Type="http://schemas.openxmlformats.org/officeDocument/2006/relationships/hyperlink" Target="https://www.google.com/maps/@35.657788,139.6995846,3a,63.5y,305.23h,95.39t/data=!3m7!1e1!3m5!1sYJ626M9EaUzD6SeN2SNZqQ!2e0!6shttps:%2F%2Fstreetviewpixels-pa.googleapis.com%2Fv1%2Fthumbnail%3Fcb_client%3Dmaps_sv.tactile%26w%3D900%26h%3D600%26pitch%3D-5.392962721659174%26panoid%3DYJ626M9EaUzD6SeN2SNZqQ%26yaw%3D305.23300970037405!7i16384!8i8192?entry=ttu&amp;g_ep=EgoyMDI0MTIxMS4wIKXMDSoASAFQAw%3D%3D" TargetMode="External"/><Relationship Id="rId291" Type="http://schemas.openxmlformats.org/officeDocument/2006/relationships/hyperlink" Target="https://www.google.com/maps/dir/?api=1&amp;destination=35.680292,139.702453" TargetMode="External"/><Relationship Id="rId305" Type="http://schemas.openxmlformats.org/officeDocument/2006/relationships/hyperlink" Target="https://www.google.com/maps/dir/?api=1&amp;destination=35.6863148,139.700035" TargetMode="External"/><Relationship Id="rId347" Type="http://schemas.openxmlformats.org/officeDocument/2006/relationships/hyperlink" Target="https://www.google.com/maps/dir/?api=1&amp;destination=35.69605,139.70286" TargetMode="External"/><Relationship Id="rId44" Type="http://schemas.openxmlformats.org/officeDocument/2006/relationships/hyperlink" Target="https://www.google.com/maps/@35.694056,139.7003298,2a,90y,166.41h,108.43t/data=!3m7!1e1!3m5!1sM41kuN3TV7W3k3y_BQvd2w!2e0!6shttps:%2F%2Fstreetviewpixels-pa.googleapis.com%2Fv1%2Fthumbnail%3Fcb_client%3Dmaps_sv.tactile%26w%3D900%26h%3D600%26pitch%3D-18.434268279345687%26panoid%3DM41kuN3TV7W3k3y_BQvd2w%26yaw%3D166.4092461676581!7i13312!8i6656?hl=ko&amp;entry=ttu&amp;g_ep=EgoyMDI0MTIxMS4wIKXMDSoASAFQAw%3D%3D" TargetMode="External"/><Relationship Id="rId86" Type="http://schemas.openxmlformats.org/officeDocument/2006/relationships/hyperlink" Target="https://www.google.com/maps/@35.689367,139.7003922,2a,75y,323.35h,89.91t/data=!3m6!1e1!3m4!1stABebKVeYGZPIz1W8gMJog!2e0!7i13312!8i6656?entry=ttu" TargetMode="External"/><Relationship Id="rId151" Type="http://schemas.openxmlformats.org/officeDocument/2006/relationships/hyperlink" Target="https://www.google.com/maps/dir/?api=1&amp;destination=35.70462,139.63681" TargetMode="External"/><Relationship Id="rId389" Type="http://schemas.openxmlformats.org/officeDocument/2006/relationships/hyperlink" Target="https://www.google.com/maps/dir/?api=1&amp;destination=35.7300357,139.7159516" TargetMode="External"/><Relationship Id="rId193" Type="http://schemas.openxmlformats.org/officeDocument/2006/relationships/hyperlink" Target="https://www.google.com/maps/dir/?api=1&amp;destination=35.66917,139.70402" TargetMode="External"/><Relationship Id="rId207" Type="http://schemas.openxmlformats.org/officeDocument/2006/relationships/hyperlink" Target="https://www.google.com/maps/dir/?api=1&amp;destination=35.66025,139.70219" TargetMode="External"/><Relationship Id="rId249" Type="http://schemas.openxmlformats.org/officeDocument/2006/relationships/hyperlink" Target="https://www.google.com/maps/dir/?api=1&amp;destination=35.65983,139.69878" TargetMode="External"/><Relationship Id="rId13" Type="http://schemas.openxmlformats.org/officeDocument/2006/relationships/hyperlink" Target="https://www.google.com/maps/dir/?api=1&amp;destination=35.70026,139.76534" TargetMode="External"/><Relationship Id="rId109" Type="http://schemas.openxmlformats.org/officeDocument/2006/relationships/hyperlink" Target="https://www.google.com/maps/dir/?api=1&amp;destination=35.69137,139.69799" TargetMode="External"/><Relationship Id="rId260" Type="http://schemas.openxmlformats.org/officeDocument/2006/relationships/hyperlink" Target="https://www.google.com/maps/@35.6604352,139.6966114,3a,88.1y,167.2h,97.12t/data=!3m7!1e1!3m5!1sd3rwIFictuzQN0LLOBrFSA!2e0!6shttps:%2F%2Fstreetviewpixels-pa.googleapis.com%2Fv1%2Fthumbnail%3Fcb_client%3Dmaps_sv.tactile%26w%3D900%26h%3D600%26pitch%3D-7.119925457176706%26panoid%3Dd3rwIFictuzQN0LLOBrFSA%26yaw%3D167.20442307853054!7i16384!8i8192?hl=ko&amp;entry=ttu&amp;g_ep=EgoyMDI0MTIxMS4wIKXMDSoASAFQAw%3D%3D" TargetMode="External"/><Relationship Id="rId316" Type="http://schemas.openxmlformats.org/officeDocument/2006/relationships/hyperlink" Target="https://www.google.com/maps/@35.6934691,139.7023074,3a,90y,20.93h,95.73t/data=!3m7!1e1!3m5!1s_Ry8GA592nzFsRNzWR5Duw!2e0!6shttps:%2F%2Fstreetviewpixels-pa.googleapis.com%2Fv1%2Fthumbnail%3Fcb_client%3Dmaps_sv.tactile%26w%3D900%26h%3D600%26pitch%3D-5.725792698287194%26panoid%3D_Ry8GA592nzFsRNzWR5Duw%26yaw%3D20.925257092138363!7i16384!8i8192?entry=ttu&amp;g_ep=EgoyMDI1MDIwOS4wIKXMDSoASAFQAw%3D%3D" TargetMode="External"/><Relationship Id="rId55" Type="http://schemas.openxmlformats.org/officeDocument/2006/relationships/hyperlink" Target="https://www.google.com/maps/dir/?api=1&amp;destination=35.66487,139.72602" TargetMode="External"/><Relationship Id="rId97" Type="http://schemas.openxmlformats.org/officeDocument/2006/relationships/hyperlink" Target="https://www.google.com/maps/dir/?api=1&amp;destination=35.67546,139.71153" TargetMode="External"/><Relationship Id="rId120" Type="http://schemas.openxmlformats.org/officeDocument/2006/relationships/hyperlink" Target="https://maps.app.goo.gl/MddCHipmeFg4rVwPA" TargetMode="External"/><Relationship Id="rId358" Type="http://schemas.openxmlformats.org/officeDocument/2006/relationships/hyperlink" Target="https://www.google.com/maps/@35.6274605,139.7715434,3a,75y,323.82h,93.02t/data=!3m7!1e1!3m5!1slWj2SFddZQfeE-0gthv2Ag!2e0!6shttps:%2F%2Fstreetviewpixels-pa.googleapis.com%2Fv1%2Fthumbnail%3Fpanoid%3DlWj2SFddZQfeE-0gthv2Ag%26cb_client%3Dmaps_sv.tactile.gps%26w%3D203%26h%3D100%26yaw%3D155.00797%26pitch%3D0%26thumbfov%3D100!7i16384!8i8192?entry=ttu" TargetMode="External"/><Relationship Id="rId162" Type="http://schemas.openxmlformats.org/officeDocument/2006/relationships/hyperlink" Target="https://www.google.com/maps/@35.6603585,139.7013909,3a,26.9y,279.76h,88.99t/data=!3m7!1e1!3m5!1snq3tkBIgP7B05T1bCMmhkg!2e0!6shttps:%2F%2Fstreetviewpixels-pa.googleapis.com%2Fv1%2Fthumbnail%3Fcb_client%3Dmaps_sv.tactile%26w%3D900%26h%3D600%26pitch%3D1.0142769266325615%26panoid%3Dnq3tkBIgP7B05T1bCMmhkg%26yaw%3D279.75520344425587!7i16384!8i8192?entry=ttu&amp;g_ep=EgoyMDI0MTIxMS4wIKXMDSoASAFQAw%3D%3D" TargetMode="External"/><Relationship Id="rId218" Type="http://schemas.openxmlformats.org/officeDocument/2006/relationships/hyperlink" Target="https://www.google.com/maps/@35.6601241,139.6957658,3a,75y,66.17h,96.76t/data=!3m7!1e1!3m5!1s77-SJH1JhSKWVi9jmPT-Fw!2e0!6shttps:%2F%2Fstreetviewpixels-pa.googleapis.com%2Fv1%2Fthumbnail%3Fpanoid%3D77-SJH1JhSKWVi9jmPT-Fw%26cb_client%3Dmaps_sv.tactile.gps%26w%3D203%26h%3D100%26yaw%3D298.9337%26pitch%3D0%26thumbfov%3D100!7i16384!8i8192?coh=205409&amp;entry=ttu" TargetMode="External"/><Relationship Id="rId271" Type="http://schemas.openxmlformats.org/officeDocument/2006/relationships/hyperlink" Target="https://www.google.com/maps/dir/?api=1&amp;destination=35.65977,139.69892" TargetMode="External"/><Relationship Id="rId24" Type="http://schemas.openxmlformats.org/officeDocument/2006/relationships/hyperlink" Target="https://maps.app.goo.gl/JKYVZCm8VLV6iSHz9" TargetMode="External"/><Relationship Id="rId66" Type="http://schemas.openxmlformats.org/officeDocument/2006/relationships/hyperlink" Target="https://www.google.com/maps/@35.6755236,139.7191932,3a,75y,342.89h,93.8t/data=!3m8!1e1!3m6!1sAF1QipPDDka1hDLe-f4XmJrFsqvvl9bXiZAY0RbA4ZZC!2e10!3e11!6shttps:%2F%2Flh5.googleusercontent.com%2Fp%2FAF1QipPDDka1hDLe-f4XmJrFsqvvl9bXiZAY0RbA4ZZC%3Dw900-h600-k-no-pi-3.7972988401600816-ya2.8893683577078946-ro0-fo100!7i4608!8i2304?entry=ttu&amp;g_ep=EgoyMDI0MTIxMS4wIKXMDSoASAFQAw%3D%3D" TargetMode="External"/><Relationship Id="rId131" Type="http://schemas.openxmlformats.org/officeDocument/2006/relationships/hyperlink" Target="https://www.google.com/maps/dir/?api=1&amp;destination=35.69307,139.70412" TargetMode="External"/><Relationship Id="rId327" Type="http://schemas.openxmlformats.org/officeDocument/2006/relationships/hyperlink" Target="https://www.google.com/maps/dir/?api=1&amp;destination=35.6960562,139.7030571" TargetMode="External"/><Relationship Id="rId369" Type="http://schemas.openxmlformats.org/officeDocument/2006/relationships/hyperlink" Target="https://www.google.com/maps/dir/?api=1&amp;destination=35.7109323,139.7963119" TargetMode="External"/><Relationship Id="rId173" Type="http://schemas.openxmlformats.org/officeDocument/2006/relationships/hyperlink" Target="https://www.google.com/maps/dir/?api=1&amp;destination=35.69905,139.41357" TargetMode="External"/><Relationship Id="rId229" Type="http://schemas.openxmlformats.org/officeDocument/2006/relationships/hyperlink" Target="https://www.google.com/maps/dir/?api=1&amp;destination=35.65673,139.7047" TargetMode="External"/><Relationship Id="rId380" Type="http://schemas.openxmlformats.org/officeDocument/2006/relationships/hyperlink" Target="https://www.google.com/maps/@35.6555519,139.7489471,3a,46.7y,209.97h,92.51t/data=!3m8!1e1!3m6!1sAF1QipN9OpplbffDfnEssvShe694_TWKKfP6TkL49puw!2e10!3e11!6shttps:%2F%2Flh3.googleusercontent.com%2Fp%2FAF1QipN9OpplbffDfnEssvShe694_TWKKfP6TkL49puw%3Dw900-h600-k-no-pi-2.5091625242968547-ya252.96623999530976-ro0-fo100!7i14080!8i7040?entry=ttu&amp;g_ep=EgoyMDI1MDIwOS4wIKXMDSoASAFQAw%3D%3D" TargetMode="External"/><Relationship Id="rId240" Type="http://schemas.openxmlformats.org/officeDocument/2006/relationships/hyperlink" Target="https://www.google.com/maps/@35.6557818,139.6950531,3a,90y,232.34h,99.73t/data=!3m7!1e1!3m5!1s1PeopaF2WqZ4oiws9rr7Fg!2e0!6shttps:%2F%2Fstreetviewpixels-pa.googleapis.com%2Fv1%2Fthumbnail%3Fpanoid%3D1PeopaF2WqZ4oiws9rr7Fg%26cb_client%3Dmaps_sv.tactile.gps%26w%3D203%26h%3D100%26yaw%3D239.27235%26pitch%3D0%26thumbfov%3D100!7i16384!8i8192?coh=205409&amp;entry=ttu" TargetMode="External"/><Relationship Id="rId35" Type="http://schemas.openxmlformats.org/officeDocument/2006/relationships/hyperlink" Target="https://www.google.com/maps/dir/?api=1&amp;destination=35.68935,139.70072" TargetMode="External"/><Relationship Id="rId77" Type="http://schemas.openxmlformats.org/officeDocument/2006/relationships/hyperlink" Target="https://www.google.com/maps/dir/?api=1&amp;destination=35.67906,139.73293" TargetMode="External"/><Relationship Id="rId100" Type="http://schemas.openxmlformats.org/officeDocument/2006/relationships/hyperlink" Target="https://maps.app.goo.gl/2JhaiDr6pghMz86x7" TargetMode="External"/><Relationship Id="rId282" Type="http://schemas.openxmlformats.org/officeDocument/2006/relationships/hyperlink" Target="https://www.google.com/maps/place/Four+Seasons+Pathway/@35.6938266,139.7042314,3a,90y,267.01h,98.48t/data=!3m6!1e1!3m4!1sxxwSHcw1M3FQHdrJ3zHXHw!2e0!7i16384!8i8192!4m14!1m7!3m6!1s0x60188d74b7370c09:0x3b9a1dd599c24016!2sFour+Seasons+Pathway!8m2!3d35.6937895!4d139.7042127!16s%2Fg%2F11szfgq9tc!3m5!1s0x60188d74b7370c09:0x3b9a1dd599c24016!8m2!3d35.6937895!4d139.7042127!16s%2Fg%2F11szfgq9tc?entry=ttu" TargetMode="External"/><Relationship Id="rId338" Type="http://schemas.openxmlformats.org/officeDocument/2006/relationships/hyperlink" Target="https://www.google.com/maps/@35.7077029,139.7745669,3a,75y,9.55h,101.69t/data=!3m6!1e1!3m4!1sNW7JVjuJ2UJwWPOJ5P65eA!2e0!7i16384!8i8192?entry=ttu" TargetMode="External"/><Relationship Id="rId8" Type="http://schemas.openxmlformats.org/officeDocument/2006/relationships/hyperlink" Target="https://maps.app.goo.gl/AzKBLPdK8ERhM7re9" TargetMode="External"/><Relationship Id="rId142" Type="http://schemas.openxmlformats.org/officeDocument/2006/relationships/hyperlink" Target="https://maps.app.goo.gl/JU3Pw2eNjghEb4UAA" TargetMode="External"/><Relationship Id="rId184" Type="http://schemas.openxmlformats.org/officeDocument/2006/relationships/hyperlink" Target="https://www.google.com/maps/@35.6575914,139.696725,3a,75y,262.46h,94.11t/data=!3m8!1e1!3m6!1sAF1QipNGyCer3UjvghLus3WE-CR5BOWlj4B7WCvVWtiq!2e10!3e11!6shttps:%2F%2Flh5.googleusercontent.com%2Fp%2FAF1QipNGyCer3UjvghLus3WE-CR5BOWlj4B7WCvVWtiq%3Dw203-h100-k-no-pi-0-ya40.55827-ro-0-fo100!7i6000!8i3000?entry=ttu" TargetMode="External"/><Relationship Id="rId391" Type="http://schemas.openxmlformats.org/officeDocument/2006/relationships/hyperlink" Target="https://www.google.com/maps/dir/?api=1&amp;destination=35.7338539,139.7127439" TargetMode="External"/><Relationship Id="rId251" Type="http://schemas.openxmlformats.org/officeDocument/2006/relationships/hyperlink" Target="https://www.google.com/maps/dir/?api=1&amp;destination=35.6595513,139.7002689" TargetMode="External"/><Relationship Id="rId46" Type="http://schemas.openxmlformats.org/officeDocument/2006/relationships/hyperlink" Target="https://www.google.com/maps/@35.6596205,139.7005607,3a,58.8y,336.97h,109.25t/data=!3m7!1e1!3m5!1sQvXyrcQ9QGUX4KEe2RR9CQ!2e0!6shttps:%2F%2Fstreetviewpixels-pa.googleapis.com%2Fv1%2Fthumbnail%3Fcb_client%3Dmaps_sv.tactile%26w%3D900%26h%3D600%26pitch%3D-19.253813670776168%26panoid%3DQvXyrcQ9QGUX4KEe2RR9CQ%26yaw%3D336.9714694851564!7i16384!8i8192?hl=ko&amp;entry=ttu&amp;g_ep=EgoyMDI0MTIxMS4wIKXMDSoASAFQAw%3D%3D" TargetMode="External"/><Relationship Id="rId293" Type="http://schemas.openxmlformats.org/officeDocument/2006/relationships/hyperlink" Target="https://www.google.com/maps/dir/?api=1&amp;destination=35.661576,139.6967404" TargetMode="External"/><Relationship Id="rId307" Type="http://schemas.openxmlformats.org/officeDocument/2006/relationships/hyperlink" Target="https://www.google.com/maps/dir/?api=1&amp;destination=35.6860196,139.7003708" TargetMode="External"/><Relationship Id="rId349" Type="http://schemas.openxmlformats.org/officeDocument/2006/relationships/hyperlink" Target="https://www.google.com/maps/dir/?api=1&amp;destination=35.6953868,139.7056268" TargetMode="External"/><Relationship Id="rId88" Type="http://schemas.openxmlformats.org/officeDocument/2006/relationships/hyperlink" Target="https://www.google.com/maps/@35.6806971,139.7115109,3a,75y,345.17h,96.53t/data=!3m7!1e1!3m5!1sX3YZUI-wRhxXTxw9P1lsSA!2e0!6shttps:%2F%2Fstreetviewpixels-pa.googleapis.com%2Fv1%2Fthumbnail%3Fpanoid%3DX3YZUI-wRhxXTxw9P1lsSA%26cb_client%3Dmaps_sv.tactile.gps%26w%3D203%26h%3D100%26yaw%3D338.85287%26pitch%3D0%26thumbfov%3D100!7i16384!8i8192?entry=ttu" TargetMode="External"/><Relationship Id="rId111" Type="http://schemas.openxmlformats.org/officeDocument/2006/relationships/hyperlink" Target="https://www.google.com/maps/dir/?api=1&amp;destination=35.67156,139.70316" TargetMode="External"/><Relationship Id="rId153" Type="http://schemas.openxmlformats.org/officeDocument/2006/relationships/hyperlink" Target="https://www.google.com/maps/dir/?api=1&amp;destination=35.69051,139.70556" TargetMode="External"/><Relationship Id="rId195" Type="http://schemas.openxmlformats.org/officeDocument/2006/relationships/hyperlink" Target="https://www.google.com/maps/dir/?api=1&amp;destination=35.6683,139.70536" TargetMode="External"/><Relationship Id="rId209" Type="http://schemas.openxmlformats.org/officeDocument/2006/relationships/hyperlink" Target="https://www.google.com/maps/dir/?api=1&amp;destination=35.6612396,139.7007869" TargetMode="External"/><Relationship Id="rId360" Type="http://schemas.openxmlformats.org/officeDocument/2006/relationships/hyperlink" Target="https://www.google.com/maps/@35.6270931,139.7795285,3a,90y,359.01h,113.11t/data=!3m7!1e1!3m5!1seXDl_1BPtgiMG86slq6wrQ!2e0!6shttps:%2F%2Fstreetviewpixels-pa.googleapis.com%2Fv1%2Fthumbnail%3Fpanoid%3DeXDl_1BPtgiMG86slq6wrQ%26cb_client%3Dmaps_sv.tactile.gps%26w%3D203%26h%3D100%26yaw%3D53.998035%26pitch%3D0%26thumbfov%3D100!7i13312!8i6656?entry=ttu" TargetMode="External"/><Relationship Id="rId220" Type="http://schemas.openxmlformats.org/officeDocument/2006/relationships/hyperlink" Target="https://www.google.com/maps/@35.6603298,139.6963393,3a,75y,155.45h,97.16t/data=!3m7!1e1!3m5!1sRmSyiNanfbsTgmKSllJrsw!2e0!5s20210501T000000!7i16384!8i8192?entry=ttu" TargetMode="External"/><Relationship Id="rId15" Type="http://schemas.openxmlformats.org/officeDocument/2006/relationships/hyperlink" Target="https://www.google.com/maps/dir/?api=1&amp;destination=35.69975,139.76558" TargetMode="External"/><Relationship Id="rId57" Type="http://schemas.openxmlformats.org/officeDocument/2006/relationships/hyperlink" Target="https://www.google.com/maps/dir/?api=1&amp;destination=35.6795071,139.7197313" TargetMode="External"/><Relationship Id="rId262" Type="http://schemas.openxmlformats.org/officeDocument/2006/relationships/hyperlink" Target="https://www.google.com/maps/@35.6595295,139.6992941,2a,90y,39.59h,88.12t/data=!3m6!1e1!3m4!1sbUNxEy2N8O5d541iigesmQ!2e0!7i13312!8i6656?coh=205409&amp;entry=ttu" TargetMode="External"/><Relationship Id="rId318" Type="http://schemas.openxmlformats.org/officeDocument/2006/relationships/hyperlink" Target="https://www.google.com/maps/@35.6910143,139.7012357,2a,75y,39.82h,92.14t/data=!3m6!1e1!3m4!1s6XHO5eEWOZrSfYqcwWphLQ!2e0!7i13312!8i6656?entry=ttu" TargetMode="External"/><Relationship Id="rId99" Type="http://schemas.openxmlformats.org/officeDocument/2006/relationships/hyperlink" Target="https://www.google.com/maps/dir/?api=1&amp;destination=35.66074,139.73014" TargetMode="External"/><Relationship Id="rId122" Type="http://schemas.openxmlformats.org/officeDocument/2006/relationships/hyperlink" Target="https://maps.app.goo.gl/UT9CydsTMrBWZYUH8" TargetMode="External"/><Relationship Id="rId164" Type="http://schemas.openxmlformats.org/officeDocument/2006/relationships/hyperlink" Target="https://www.google.com/maps/@35.6619145,139.6992841,3a,75y,356.39h,94.81t/data=!3m7!1e1!3m5!1sS7uQ6NGvSWgJXJLVKY8shA!2e0!6shttps:%2F%2Fstreetviewpixels-pa.googleapis.com%2Fv1%2Fthumbnail%3Fpanoid%3DS7uQ6NGvSWgJXJLVKY8shA%26cb_client%3Dmaps_sv.tactile.gps%26w%3D203%26h%3D100%26yaw%3D133.98666%26pitch%3D0%26thumbfov%3D100!7i16384!8i8192?entry=ttu" TargetMode="External"/><Relationship Id="rId371" Type="http://schemas.openxmlformats.org/officeDocument/2006/relationships/hyperlink" Target="https://www.google.com/maps/dir/?api=1&amp;destination=35.6604038,139.7292383" TargetMode="External"/><Relationship Id="rId26" Type="http://schemas.openxmlformats.org/officeDocument/2006/relationships/hyperlink" Target="https://maps.app.goo.gl/RZaGsCuZtN5FpRvr8" TargetMode="External"/><Relationship Id="rId231" Type="http://schemas.openxmlformats.org/officeDocument/2006/relationships/hyperlink" Target="https://www.google.com/maps/dir/?api=1&amp;destination=35.6588,139.70024" TargetMode="External"/><Relationship Id="rId273" Type="http://schemas.openxmlformats.org/officeDocument/2006/relationships/hyperlink" Target="https://www.google.com/maps/dir/?api=1&amp;destination=35.65946,139.70101" TargetMode="External"/><Relationship Id="rId329" Type="http://schemas.openxmlformats.org/officeDocument/2006/relationships/hyperlink" Target="https://www.google.com/maps/dir/?api=1&amp;destination=35.6938851,139.7005534" TargetMode="External"/><Relationship Id="rId68" Type="http://schemas.openxmlformats.org/officeDocument/2006/relationships/hyperlink" Target="https://www.google.com/maps/@35.6812094,139.7669619,2a,75y,12.76h,88.89t/data=!3m6!1e1!3m4!1sRD2_FvEyJzjiXrboDAxErQ!2e0!7i13312!8i6656?entry=ttu" TargetMode="External"/><Relationship Id="rId133" Type="http://schemas.openxmlformats.org/officeDocument/2006/relationships/hyperlink" Target="https://www.google.com/maps/dir/?api=1&amp;destination=35.6665,139.70597" TargetMode="External"/><Relationship Id="rId175" Type="http://schemas.openxmlformats.org/officeDocument/2006/relationships/hyperlink" Target="https://www.google.com/maps/dir/?api=1&amp;destination=35.69978,139.41456" TargetMode="External"/><Relationship Id="rId340" Type="http://schemas.openxmlformats.org/officeDocument/2006/relationships/hyperlink" Target="https://www.google.com/maps/@35.6692041,139.7603117,3a,75y,285.97h,95.35t/data=!3m7!1e1!3m5!1sorxAE1ILExU5FiM4Al0SxA!2e0!6shttps:%2F%2Fstreetviewpixels-pa.googleapis.com%2Fv1%2Fthumbnail%3Fpanoid%3DorxAE1ILExU5FiM4Al0SxA%26cb_client%3Dmaps_sv.tactile.gps%26w%3D203%26h%3D100%26yaw%3D146.74767%26pitch%3D0%26thumbfov%3D100!7i16384!8i8192?entry=ttu" TargetMode="External"/><Relationship Id="rId200" Type="http://schemas.openxmlformats.org/officeDocument/2006/relationships/hyperlink" Target="https://www.google.com/maps/@35.6585834,139.7026089,2a,75y,343.02h,99t/data=!3m6!1e1!3m4!1s1hcXqc5zaOuzVQOlmj_yiA!2e0!7i13312!8i6656?entry=ttu" TargetMode="External"/><Relationship Id="rId382" Type="http://schemas.openxmlformats.org/officeDocument/2006/relationships/hyperlink" Target="https://www.google.com/maps/@35.7317649,139.7125561,3a,90y,40.6h,104.31t/data=!3m6!1e1!3m4!1srKblfNS2QK9WShnC8l4Tfw!2e0!7i16384!8i8192?entry=ttu" TargetMode="External"/><Relationship Id="rId242" Type="http://schemas.openxmlformats.org/officeDocument/2006/relationships/hyperlink" Target="https://www.google.com/maps/@35.6591199,139.6997669,3a,90y,129.03h,90.46t/data=!3m7!1e1!3m5!1sQehR0Vx_qqMMu7MAXtIa9g!2e0!6shttps:%2F%2Fstreetviewpixels-pa.googleapis.com%2Fv1%2Fthumbnail%3Fcb_client%3Dmaps_sv.tactile%26w%3D900%26h%3D600%26pitch%3D-0.45658140424474425%26panoid%3DQehR0Vx_qqMMu7MAXtIa9g%26yaw%3D129.02676607002468!7i16384!8i8192?hl=ko&amp;entry=ttu&amp;g_ep=EgoyMDI0MTIxMS4wIKXMDSoASAFQAw%3D%3D" TargetMode="External"/><Relationship Id="rId284" Type="http://schemas.openxmlformats.org/officeDocument/2006/relationships/hyperlink" Target="https://www.google.com/maps/@35.6927393,139.7047692,3a,90y,259.15h,104.45t/data=!3m6!1e1!3m4!1sUSA5GaxApxJCUA7UPqm2Jw!2e0!7i16384!8i8192?entry=ttu" TargetMode="External"/><Relationship Id="rId37" Type="http://schemas.openxmlformats.org/officeDocument/2006/relationships/hyperlink" Target="https://www.google.com/maps/dir/?api=1&amp;destination=35.68758,139.71287" TargetMode="External"/><Relationship Id="rId79" Type="http://schemas.openxmlformats.org/officeDocument/2006/relationships/hyperlink" Target="https://www.google.com/maps/dir/?api=1&amp;destination=35.68089,139.73165" TargetMode="External"/><Relationship Id="rId102" Type="http://schemas.openxmlformats.org/officeDocument/2006/relationships/hyperlink" Target="https://maps.app.goo.gl/KxorfsgK3PJAi8W6A" TargetMode="External"/><Relationship Id="rId144" Type="http://schemas.openxmlformats.org/officeDocument/2006/relationships/hyperlink" Target="https://maps.app.goo.gl/NkePvzMVFA1FCZ2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03"/>
  <sheetViews>
    <sheetView tabSelected="1" topLeftCell="D1" workbookViewId="0">
      <selection activeCell="L1" sqref="L1"/>
    </sheetView>
  </sheetViews>
  <sheetFormatPr defaultColWidth="12.5703125" defaultRowHeight="15.75" customHeight="1" x14ac:dyDescent="0.2"/>
  <cols>
    <col min="1" max="1" width="3.7109375" customWidth="1"/>
    <col min="2" max="2" width="9.28515625" customWidth="1"/>
    <col min="3" max="3" width="17.85546875" customWidth="1"/>
    <col min="4" max="4" width="10.42578125" customWidth="1"/>
    <col min="5" max="6" width="43.5703125" customWidth="1"/>
    <col min="7" max="7" width="27.42578125" customWidth="1"/>
    <col min="8" max="8" width="9.7109375" customWidth="1"/>
    <col min="9" max="9" width="10.7109375" customWidth="1"/>
    <col min="10" max="10" width="25.42578125" customWidth="1"/>
    <col min="11" max="11" width="14.42578125" customWidth="1"/>
    <col min="12" max="12" width="20.42578125" customWidth="1"/>
    <col min="13" max="13" width="9.7109375" customWidth="1"/>
    <col min="14" max="14" width="60.140625" customWidth="1"/>
    <col min="15" max="15" width="580.42578125" customWidth="1"/>
    <col min="16" max="16" width="108" customWidth="1"/>
    <col min="17" max="17" width="54.7109375" customWidth="1"/>
  </cols>
  <sheetData>
    <row r="1" spans="1:28" x14ac:dyDescent="0.2">
      <c r="B1" s="1" t="s">
        <v>0</v>
      </c>
      <c r="C1" s="2" t="s">
        <v>1</v>
      </c>
      <c r="D1" s="2" t="s">
        <v>2</v>
      </c>
      <c r="E1" s="6" t="s">
        <v>685</v>
      </c>
      <c r="F1" s="1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1" t="s">
        <v>10</v>
      </c>
      <c r="N1" s="2" t="s">
        <v>11</v>
      </c>
      <c r="O1" s="1" t="s">
        <v>12</v>
      </c>
      <c r="P1" s="1" t="s">
        <v>13</v>
      </c>
      <c r="Q1" s="1" t="s">
        <v>14</v>
      </c>
    </row>
    <row r="2" spans="1:28" x14ac:dyDescent="0.2">
      <c r="A2" s="3">
        <v>23</v>
      </c>
      <c r="B2" s="3">
        <v>1</v>
      </c>
      <c r="C2" s="3" t="s">
        <v>15</v>
      </c>
      <c r="D2" s="3"/>
      <c r="E2" s="3" t="str">
        <f ca="1">IFERROR(__xludf.DUMMYFUNCTION("GOOGLETRANSLATE(J2, ""auto"", ""ko"")"),"도쿄역")</f>
        <v>도쿄역</v>
      </c>
      <c r="F2" s="3" t="s">
        <v>16</v>
      </c>
      <c r="G2" s="3"/>
      <c r="H2" s="3">
        <v>35.68027</v>
      </c>
      <c r="I2" s="3">
        <v>139.7671545</v>
      </c>
      <c r="J2" s="3" t="str">
        <f ca="1">IFERROR(__xludf.DUMMYFUNCTION("GOOGLETRANSLATE(N2, ""auto"", ""ko"")"),"도쿄도 마루노우치 잇쵸메")</f>
        <v>도쿄도 마루노우치 잇쵸메</v>
      </c>
      <c r="K2" s="3" t="str">
        <f ca="1">IFERROR(__xludf.DUMMYFUNCTION("GOOGLETRANSLATE(P2, ""auto"", ""ko"")"),"도쿄도")</f>
        <v>도쿄도</v>
      </c>
      <c r="L2" s="3" t="str">
        <f ca="1">IFERROR(__xludf.DUMMYFUNCTION("GOOGLETRANSLATE(R2, ""auto"", ""ko"")"),"마루노우치 잇쵸메")</f>
        <v>마루노우치 잇쵸메</v>
      </c>
      <c r="M2" s="3">
        <v>13101</v>
      </c>
      <c r="N2" s="4" t="s">
        <v>17</v>
      </c>
      <c r="O2" s="4" t="s">
        <v>18</v>
      </c>
      <c r="P2" s="3" t="s">
        <v>19</v>
      </c>
      <c r="Q2" s="3" t="s">
        <v>20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2">
      <c r="A3" s="3">
        <v>24</v>
      </c>
      <c r="B3" s="3">
        <v>1</v>
      </c>
      <c r="C3" s="3" t="s">
        <v>15</v>
      </c>
      <c r="D3" s="3"/>
      <c r="E3" s="3" t="str">
        <f ca="1">IFERROR(__xludf.DUMMYFUNCTION("GOOGLETRANSLATE(J3, ""auto"", ""ko"")"),"RAMEN CLUB 도쿄역점")</f>
        <v>RAMEN CLUB 도쿄역점</v>
      </c>
      <c r="F3" s="3" t="s">
        <v>21</v>
      </c>
      <c r="G3" s="3"/>
      <c r="H3" s="3">
        <v>35.680570000000003</v>
      </c>
      <c r="I3" s="3">
        <v>139.76605000000001</v>
      </c>
      <c r="J3" s="3" t="str">
        <f ca="1">IFERROR(__xludf.DUMMYFUNCTION("GOOGLETRANSLATE(N3, ""auto"", ""ko"")"),"도쿄도 마루노우치 잇쵸메")</f>
        <v>도쿄도 마루노우치 잇쵸메</v>
      </c>
      <c r="K3" s="3" t="str">
        <f ca="1">IFERROR(__xludf.DUMMYFUNCTION("GOOGLETRANSLATE(P3, ""auto"", ""ko"")"),"도쿄도")</f>
        <v>도쿄도</v>
      </c>
      <c r="L3" s="3" t="str">
        <f ca="1">IFERROR(__xludf.DUMMYFUNCTION("GOOGLETRANSLATE(R3, ""auto"", ""ko"")"),"마루노우치 잇쵸메")</f>
        <v>마루노우치 잇쵸메</v>
      </c>
      <c r="M3" s="3">
        <v>13101</v>
      </c>
      <c r="N3" s="4" t="s">
        <v>22</v>
      </c>
      <c r="O3" s="4" t="s">
        <v>23</v>
      </c>
      <c r="P3" s="3" t="s">
        <v>19</v>
      </c>
      <c r="Q3" s="3" t="s">
        <v>20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2">
      <c r="A4" s="3">
        <v>25</v>
      </c>
      <c r="B4" s="3">
        <v>1</v>
      </c>
      <c r="C4" s="3" t="s">
        <v>15</v>
      </c>
      <c r="D4" s="3"/>
      <c r="E4" s="3" t="str">
        <f ca="1">IFERROR(__xludf.DUMMYFUNCTION("GOOGLETRANSLATE(J4, ""auto"", ""ko"")"),"도쿄역 주오선 1·2번 홈")</f>
        <v>도쿄역 주오선 1·2번 홈</v>
      </c>
      <c r="F4" s="3" t="s">
        <v>24</v>
      </c>
      <c r="G4" s="3"/>
      <c r="H4" s="3">
        <v>35.681489999999997</v>
      </c>
      <c r="I4" s="3">
        <v>139.76634999999999</v>
      </c>
      <c r="J4" s="3" t="str">
        <f ca="1">IFERROR(__xludf.DUMMYFUNCTION("GOOGLETRANSLATE(N4, ""auto"", ""ko"")"),"도쿄도 마루노우치 잇쵸메")</f>
        <v>도쿄도 마루노우치 잇쵸메</v>
      </c>
      <c r="K4" s="3" t="str">
        <f ca="1">IFERROR(__xludf.DUMMYFUNCTION("GOOGLETRANSLATE(P4, ""auto"", ""ko"")"),"도쿄도")</f>
        <v>도쿄도</v>
      </c>
      <c r="L4" s="3" t="str">
        <f ca="1">IFERROR(__xludf.DUMMYFUNCTION("GOOGLETRANSLATE(R4, ""auto"", ""ko"")"),"마루노우치 잇쵸메")</f>
        <v>마루노우치 잇쵸메</v>
      </c>
      <c r="M4" s="3">
        <v>13101</v>
      </c>
      <c r="N4" s="4" t="s">
        <v>25</v>
      </c>
      <c r="O4" s="4" t="s">
        <v>26</v>
      </c>
      <c r="P4" s="3" t="s">
        <v>19</v>
      </c>
      <c r="Q4" s="3" t="s">
        <v>20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2">
      <c r="A5" s="3">
        <v>26</v>
      </c>
      <c r="B5" s="3">
        <v>1</v>
      </c>
      <c r="C5" s="3" t="s">
        <v>15</v>
      </c>
      <c r="D5" s="3"/>
      <c r="E5" s="3" t="str">
        <f ca="1">IFERROR(__xludf.DUMMYFUNCTION("GOOGLETRANSLATE(J5, ""auto"", ""ko"")"),"오차노미즈역")</f>
        <v>오차노미즈역</v>
      </c>
      <c r="F5" s="3" t="s">
        <v>27</v>
      </c>
      <c r="G5" s="3"/>
      <c r="H5" s="3">
        <v>35.699330000000003</v>
      </c>
      <c r="I5" s="3">
        <v>139.76614000000001</v>
      </c>
      <c r="J5" s="3" t="str">
        <f ca="1">IFERROR(__xludf.DUMMYFUNCTION("GOOGLETRANSLATE(N5, ""auto"", ""ko"")"),"도쿄도 간다 스루가다이 욘쵸메")</f>
        <v>도쿄도 간다 스루가다이 욘쵸메</v>
      </c>
      <c r="K5" s="3" t="str">
        <f ca="1">IFERROR(__xludf.DUMMYFUNCTION("GOOGLETRANSLATE(P5, ""auto"", ""ko"")"),"도쿄도")</f>
        <v>도쿄도</v>
      </c>
      <c r="L5" s="3" t="str">
        <f ca="1">IFERROR(__xludf.DUMMYFUNCTION("GOOGLETRANSLATE(R5, ""auto"", ""ko"")"),"간다 스루가다이 욘쵸메")</f>
        <v>간다 스루가다이 욘쵸메</v>
      </c>
      <c r="M5" s="3">
        <v>13101</v>
      </c>
      <c r="N5" s="4" t="s">
        <v>28</v>
      </c>
      <c r="O5" s="4" t="s">
        <v>29</v>
      </c>
      <c r="P5" s="3" t="s">
        <v>19</v>
      </c>
      <c r="Q5" s="3" t="s">
        <v>20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">
      <c r="A6" s="3">
        <v>27</v>
      </c>
      <c r="B6" s="3">
        <v>1</v>
      </c>
      <c r="C6" s="3" t="s">
        <v>15</v>
      </c>
      <c r="D6" s="3"/>
      <c r="E6" s="3" t="str">
        <f ca="1">IFERROR(__xludf.DUMMYFUNCTION("GOOGLETRANSLATE(J6, ""auto"", ""ko"")"),"쇼와 다이이치 고등학교 부근")</f>
        <v>쇼와 다이이치 고등학교 부근</v>
      </c>
      <c r="F6" s="3" t="s">
        <v>30</v>
      </c>
      <c r="G6" s="3"/>
      <c r="H6" s="3">
        <v>35.702781100000003</v>
      </c>
      <c r="I6" s="3">
        <v>139.75769399999999</v>
      </c>
      <c r="J6" s="3" t="str">
        <f ca="1">IFERROR(__xludf.DUMMYFUNCTION("GOOGLETRANSLATE(N6, ""auto"", ""ko"")"),"도쿄도 혼고 잇쵸메")</f>
        <v>도쿄도 혼고 잇쵸메</v>
      </c>
      <c r="K6" s="3" t="str">
        <f ca="1">IFERROR(__xludf.DUMMYFUNCTION("GOOGLETRANSLATE(P6, ""auto"", ""ko"")"),"도쿄도")</f>
        <v>도쿄도</v>
      </c>
      <c r="L6" s="3" t="str">
        <f ca="1">IFERROR(__xludf.DUMMYFUNCTION("GOOGLETRANSLATE(R6, ""auto"", ""ko"")"),"혼고 잇쵸메")</f>
        <v>혼고 잇쵸메</v>
      </c>
      <c r="M6" s="3">
        <v>13105</v>
      </c>
      <c r="N6" s="4" t="s">
        <v>31</v>
      </c>
      <c r="O6" s="4" t="s">
        <v>32</v>
      </c>
      <c r="P6" s="3" t="s">
        <v>19</v>
      </c>
      <c r="Q6" s="3" t="s">
        <v>20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">
      <c r="A7" s="3">
        <v>28</v>
      </c>
      <c r="B7" s="3">
        <v>1</v>
      </c>
      <c r="C7" s="3" t="s">
        <v>15</v>
      </c>
      <c r="D7" s="3"/>
      <c r="E7" s="3" t="str">
        <f ca="1">IFERROR(__xludf.DUMMYFUNCTION("GOOGLETRANSLATE(J7, ""auto"", ""ko"")"),"순천당대학")</f>
        <v>순천당대학</v>
      </c>
      <c r="F7" s="3" t="s">
        <v>33</v>
      </c>
      <c r="G7" s="3"/>
      <c r="H7" s="3">
        <v>35.702010000000001</v>
      </c>
      <c r="I7" s="3">
        <v>139.76079999999999</v>
      </c>
      <c r="J7" s="3" t="str">
        <f ca="1">IFERROR(__xludf.DUMMYFUNCTION("GOOGLETRANSLATE(N7, ""auto"", ""ko"")"),"도쿄도 혼고 니쵸메")</f>
        <v>도쿄도 혼고 니쵸메</v>
      </c>
      <c r="K7" s="3" t="str">
        <f ca="1">IFERROR(__xludf.DUMMYFUNCTION("GOOGLETRANSLATE(P7, ""auto"", ""ko"")"),"도쿄도")</f>
        <v>도쿄도</v>
      </c>
      <c r="L7" s="3" t="str">
        <f ca="1">IFERROR(__xludf.DUMMYFUNCTION("GOOGLETRANSLATE(R7, ""auto"", ""ko"")"),"혼고 니쵸메")</f>
        <v>혼고 니쵸메</v>
      </c>
      <c r="M7" s="3">
        <v>13105</v>
      </c>
      <c r="N7" s="4" t="s">
        <v>34</v>
      </c>
      <c r="O7" s="4" t="s">
        <v>35</v>
      </c>
      <c r="P7" s="3" t="s">
        <v>19</v>
      </c>
      <c r="Q7" s="3" t="s">
        <v>20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">
      <c r="A8" s="3">
        <v>29</v>
      </c>
      <c r="B8" s="3">
        <v>1</v>
      </c>
      <c r="C8" s="3" t="s">
        <v>15</v>
      </c>
      <c r="D8" s="3"/>
      <c r="E8" s="3" t="str">
        <f ca="1">IFERROR(__xludf.DUMMYFUNCTION("GOOGLETRANSLATE(J8, ""auto"", ""ko"")"),"세이바시(버스)")</f>
        <v>세이바시(버스)</v>
      </c>
      <c r="F8" s="3" t="s">
        <v>36</v>
      </c>
      <c r="G8" s="3"/>
      <c r="H8" s="3">
        <v>35.70026</v>
      </c>
      <c r="I8" s="3">
        <v>139.76534000000001</v>
      </c>
      <c r="J8" s="3" t="str">
        <f ca="1">IFERROR(__xludf.DUMMYFUNCTION("GOOGLETRANSLATE(N8, ""auto"", ""ko"")"),"도쿄도 유시마 잇쵸메")</f>
        <v>도쿄도 유시마 잇쵸메</v>
      </c>
      <c r="K8" s="3" t="str">
        <f ca="1">IFERROR(__xludf.DUMMYFUNCTION("GOOGLETRANSLATE(P8, ""auto"", ""ko"")"),"도쿄도")</f>
        <v>도쿄도</v>
      </c>
      <c r="L8" s="3" t="str">
        <f ca="1">IFERROR(__xludf.DUMMYFUNCTION("GOOGLETRANSLATE(R8, ""auto"", ""ko"")"),"유시마 잇쵸메")</f>
        <v>유시마 잇쵸메</v>
      </c>
      <c r="M8" s="3">
        <v>13105</v>
      </c>
      <c r="N8" s="4" t="s">
        <v>37</v>
      </c>
      <c r="O8" s="4" t="s">
        <v>38</v>
      </c>
      <c r="P8" s="3" t="s">
        <v>19</v>
      </c>
      <c r="Q8" s="3" t="s">
        <v>20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">
      <c r="A9" s="3">
        <v>30</v>
      </c>
      <c r="B9" s="3">
        <v>1</v>
      </c>
      <c r="C9" s="3" t="s">
        <v>15</v>
      </c>
      <c r="D9" s="3"/>
      <c r="E9" s="3" t="str">
        <f ca="1">IFERROR(__xludf.DUMMYFUNCTION("GOOGLETRANSLATE(J9, ""auto"", ""ko"")"),"홀리 브리지")</f>
        <v>홀리 브리지</v>
      </c>
      <c r="F9" s="3" t="s">
        <v>39</v>
      </c>
      <c r="G9" s="3"/>
      <c r="H9" s="3">
        <v>35.699750000000002</v>
      </c>
      <c r="I9" s="3">
        <v>139.76558</v>
      </c>
      <c r="J9" s="3" t="str">
        <f ca="1">IFERROR(__xludf.DUMMYFUNCTION("GOOGLETRANSLATE(N9, ""auto"", ""ko"")"),"도쿄도 간다 스루가다이 욘쵸메")</f>
        <v>도쿄도 간다 스루가다이 욘쵸메</v>
      </c>
      <c r="K9" s="3" t="str">
        <f ca="1">IFERROR(__xludf.DUMMYFUNCTION("GOOGLETRANSLATE(P9, ""auto"", ""ko"")"),"도쿄도")</f>
        <v>도쿄도</v>
      </c>
      <c r="L9" s="3" t="str">
        <f ca="1">IFERROR(__xludf.DUMMYFUNCTION("GOOGLETRANSLATE(R9, ""auto"", ""ko"")"),"간다 스루가다이 욘쵸메")</f>
        <v>간다 스루가다이 욘쵸메</v>
      </c>
      <c r="M9" s="3">
        <v>13101</v>
      </c>
      <c r="N9" s="4" t="s">
        <v>40</v>
      </c>
      <c r="O9" s="4" t="s">
        <v>41</v>
      </c>
      <c r="P9" s="3" t="s">
        <v>19</v>
      </c>
      <c r="Q9" s="3" t="s">
        <v>20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">
      <c r="A10" s="3">
        <v>31</v>
      </c>
      <c r="B10" s="3">
        <v>1</v>
      </c>
      <c r="C10" s="3" t="s">
        <v>15</v>
      </c>
      <c r="D10" s="3"/>
      <c r="E10" s="3" t="str">
        <f ca="1">IFERROR(__xludf.DUMMYFUNCTION("GOOGLETRANSLATE(J10, ""auto"", ""ko"")"),"고지마치 경찰서, 지도리 케이부치 경찰서")</f>
        <v>고지마치 경찰서, 지도리 케이부치 경찰서</v>
      </c>
      <c r="F10" s="3" t="s">
        <v>42</v>
      </c>
      <c r="G10" s="3"/>
      <c r="H10" s="3">
        <v>35.688339999999997</v>
      </c>
      <c r="I10" s="3">
        <v>139.74535</v>
      </c>
      <c r="J10" s="3" t="str">
        <f ca="1">IFERROR(__xludf.DUMMYFUNCTION("GOOGLETRANSLATE(N10, ""auto"", ""ko"")"),"도쿄도 이치반초")</f>
        <v>도쿄도 이치반초</v>
      </c>
      <c r="K10" s="3" t="str">
        <f ca="1">IFERROR(__xludf.DUMMYFUNCTION("GOOGLETRANSLATE(P10, ""auto"", ""ko"")"),"도쿄도")</f>
        <v>도쿄도</v>
      </c>
      <c r="L10" s="3" t="str">
        <f ca="1">IFERROR(__xludf.DUMMYFUNCTION("GOOGLETRANSLATE(R10, ""auto"", ""ko"")"),"이치 ​​반쵸")</f>
        <v>이치 ​​반쵸</v>
      </c>
      <c r="M10" s="3">
        <v>13101</v>
      </c>
      <c r="N10" s="4" t="s">
        <v>43</v>
      </c>
      <c r="O10" s="4" t="s">
        <v>44</v>
      </c>
      <c r="P10" s="3" t="s">
        <v>19</v>
      </c>
      <c r="Q10" s="3" t="s">
        <v>20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">
      <c r="A11" s="3">
        <v>32</v>
      </c>
      <c r="B11" s="3">
        <v>1</v>
      </c>
      <c r="C11" s="3" t="s">
        <v>15</v>
      </c>
      <c r="D11" s="3"/>
      <c r="E11" s="3" t="str">
        <f ca="1">IFERROR(__xludf.DUMMYFUNCTION("GOOGLETRANSLATE(J11, ""auto"", ""ko"")"),"차의 수교")</f>
        <v>차의 수교</v>
      </c>
      <c r="F11" s="3" t="s">
        <v>45</v>
      </c>
      <c r="G11" s="3"/>
      <c r="H11" s="3">
        <v>35.699860000000001</v>
      </c>
      <c r="I11" s="3">
        <v>139.76344</v>
      </c>
      <c r="J11" s="3" t="str">
        <f ca="1">IFERROR(__xludf.DUMMYFUNCTION("GOOGLETRANSLATE(N11, ""auto"", ""ko"")"),"도쿄도 간다 스루가다이 니쵸메")</f>
        <v>도쿄도 간다 스루가다이 니쵸메</v>
      </c>
      <c r="K11" s="3" t="str">
        <f ca="1">IFERROR(__xludf.DUMMYFUNCTION("GOOGLETRANSLATE(P11, ""auto"", ""ko"")"),"도쿄도")</f>
        <v>도쿄도</v>
      </c>
      <c r="L11" s="3" t="str">
        <f ca="1">IFERROR(__xludf.DUMMYFUNCTION("GOOGLETRANSLATE(R11, ""auto"", ""ko"")"),"간다 스루가다이 니쵸메")</f>
        <v>간다 스루가다이 니쵸메</v>
      </c>
      <c r="M11" s="3">
        <v>13101</v>
      </c>
      <c r="N11" s="4" t="s">
        <v>46</v>
      </c>
      <c r="O11" s="4" t="s">
        <v>47</v>
      </c>
      <c r="P11" s="3" t="s">
        <v>19</v>
      </c>
      <c r="Q11" s="3" t="s">
        <v>20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A12" s="3">
        <v>33</v>
      </c>
      <c r="B12" s="3">
        <v>1</v>
      </c>
      <c r="C12" s="3" t="s">
        <v>15</v>
      </c>
      <c r="D12" s="3"/>
      <c r="E12" s="3" t="str">
        <f ca="1">IFERROR(__xludf.DUMMYFUNCTION("GOOGLETRANSLATE(J12, ""auto"", ""ko"")"),"시모쿠라 악기 차의 미즈모토점")</f>
        <v>시모쿠라 악기 차의 미즈모토점</v>
      </c>
      <c r="F12" s="3" t="s">
        <v>48</v>
      </c>
      <c r="G12" s="3"/>
      <c r="H12" s="3">
        <v>35.698909999999998</v>
      </c>
      <c r="I12" s="3">
        <v>139.76293000000001</v>
      </c>
      <c r="J12" s="3" t="str">
        <f ca="1">IFERROR(__xludf.DUMMYFUNCTION("GOOGLETRANSLATE(N12, ""auto"", ""ko"")"),"도쿄도 간다 스루가다이 니쵸메")</f>
        <v>도쿄도 간다 스루가다이 니쵸메</v>
      </c>
      <c r="K12" s="3" t="str">
        <f ca="1">IFERROR(__xludf.DUMMYFUNCTION("GOOGLETRANSLATE(P12, ""auto"", ""ko"")"),"도쿄도")</f>
        <v>도쿄도</v>
      </c>
      <c r="L12" s="3" t="str">
        <f ca="1">IFERROR(__xludf.DUMMYFUNCTION("GOOGLETRANSLATE(R12, ""auto"", ""ko"")"),"간다 스루가다이 니쵸메")</f>
        <v>간다 스루가다이 니쵸메</v>
      </c>
      <c r="M12" s="3">
        <v>13101</v>
      </c>
      <c r="N12" s="4" t="s">
        <v>49</v>
      </c>
      <c r="O12" s="4" t="s">
        <v>50</v>
      </c>
      <c r="P12" s="3" t="s">
        <v>19</v>
      </c>
      <c r="Q12" s="3" t="s">
        <v>20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">
      <c r="A13" s="3">
        <v>79</v>
      </c>
      <c r="B13" s="3">
        <v>1</v>
      </c>
      <c r="C13" s="3" t="s">
        <v>51</v>
      </c>
      <c r="D13" s="3" t="s">
        <v>52</v>
      </c>
      <c r="E13" s="3" t="str">
        <f ca="1">IFERROR(__xludf.DUMMYFUNCTION("GOOGLETRANSLATE(J13, ""auto"", ""ko"")"),"피타트 하우스 네리마에키마에점")</f>
        <v>피타트 하우스 네리마에키마에점</v>
      </c>
      <c r="F13" s="3" t="s">
        <v>53</v>
      </c>
      <c r="G13" s="3"/>
      <c r="H13" s="3">
        <v>35.737589999999997</v>
      </c>
      <c r="I13" s="3">
        <v>139.65497999999999</v>
      </c>
      <c r="J13" s="3" t="str">
        <f ca="1">IFERROR(__xludf.DUMMYFUNCTION("GOOGLETRANSLATE(N13, ""auto"", ""ko"")"),"도쿄도 네리마 잇쵸메")</f>
        <v>도쿄도 네리마 잇쵸메</v>
      </c>
      <c r="K13" s="3" t="str">
        <f ca="1">IFERROR(__xludf.DUMMYFUNCTION("GOOGLETRANSLATE(P13, ""auto"", ""ko"")"),"도쿄도")</f>
        <v>도쿄도</v>
      </c>
      <c r="L13" s="3" t="str">
        <f ca="1">IFERROR(__xludf.DUMMYFUNCTION("GOOGLETRANSLATE(R13, ""auto"", ""ko"")"),"네리마 잇쵸메")</f>
        <v>네리마 잇쵸메</v>
      </c>
      <c r="M13" s="3">
        <v>13120</v>
      </c>
      <c r="N13" s="4" t="s">
        <v>54</v>
      </c>
      <c r="O13" s="4" t="s">
        <v>55</v>
      </c>
      <c r="P13" s="3" t="s">
        <v>56</v>
      </c>
      <c r="Q13" s="3" t="s">
        <v>57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">
      <c r="A14" s="3">
        <v>80</v>
      </c>
      <c r="B14" s="3">
        <v>1</v>
      </c>
      <c r="C14" s="3" t="s">
        <v>51</v>
      </c>
      <c r="D14" s="3" t="s">
        <v>58</v>
      </c>
      <c r="E14" s="3" t="str">
        <f ca="1">IFERROR(__xludf.DUMMYFUNCTION("GOOGLETRANSLATE(J14, ""auto"", ""ko"")"),"네리마역")</f>
        <v>네리마역</v>
      </c>
      <c r="F14" s="3" t="s">
        <v>59</v>
      </c>
      <c r="G14" s="3"/>
      <c r="H14" s="3">
        <v>35.737670000000001</v>
      </c>
      <c r="I14" s="3">
        <v>139.65458000000001</v>
      </c>
      <c r="J14" s="3" t="str">
        <f ca="1">IFERROR(__xludf.DUMMYFUNCTION("GOOGLETRANSLATE(N14, ""auto"", ""ko"")"),"도쿄도 네리마 잇쵸메")</f>
        <v>도쿄도 네리마 잇쵸메</v>
      </c>
      <c r="K14" s="3" t="str">
        <f ca="1">IFERROR(__xludf.DUMMYFUNCTION("GOOGLETRANSLATE(P14, ""auto"", ""ko"")"),"도쿄도")</f>
        <v>도쿄도</v>
      </c>
      <c r="L14" s="3" t="str">
        <f ca="1">IFERROR(__xludf.DUMMYFUNCTION("GOOGLETRANSLATE(R14, ""auto"", ""ko"")"),"네리마 잇쵸메")</f>
        <v>네리마 잇쵸메</v>
      </c>
      <c r="M14" s="3">
        <v>13120</v>
      </c>
      <c r="N14" s="4" t="s">
        <v>60</v>
      </c>
      <c r="O14" s="4" t="s">
        <v>61</v>
      </c>
      <c r="P14" s="3" t="s">
        <v>56</v>
      </c>
      <c r="Q14" s="3" t="s">
        <v>57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">
      <c r="A15" s="3">
        <v>81</v>
      </c>
      <c r="B15" s="3">
        <v>1</v>
      </c>
      <c r="C15" s="3" t="s">
        <v>51</v>
      </c>
      <c r="D15" s="3" t="s">
        <v>62</v>
      </c>
      <c r="E15" s="3" t="str">
        <f ca="1">IFERROR(__xludf.DUMMYFUNCTION("GOOGLETRANSLATE(J15, ""auto"", ""ko"")"),"무코야마초(버스)")</f>
        <v>무코야마초(버스)</v>
      </c>
      <c r="F15" s="3" t="s">
        <v>63</v>
      </c>
      <c r="G15" s="3"/>
      <c r="H15" s="3">
        <v>35.738630000000001</v>
      </c>
      <c r="I15" s="3">
        <v>139.6422</v>
      </c>
      <c r="J15" s="3" t="str">
        <f ca="1">IFERROR(__xludf.DUMMYFUNCTION("GOOGLETRANSLATE(N15, ""auto"", ""ko"")"),"도쿄도 무카야마 잇쵸메")</f>
        <v>도쿄도 무카야마 잇쵸메</v>
      </c>
      <c r="K15" s="3" t="str">
        <f ca="1">IFERROR(__xludf.DUMMYFUNCTION("GOOGLETRANSLATE(P15, ""auto"", ""ko"")"),"도쿄도")</f>
        <v>도쿄도</v>
      </c>
      <c r="L15" s="3" t="str">
        <f ca="1">IFERROR(__xludf.DUMMYFUNCTION("GOOGLETRANSLATE(R15, ""auto"", ""ko"")"),"무코야마 잇쵸메")</f>
        <v>무코야마 잇쵸메</v>
      </c>
      <c r="M15" s="3">
        <v>13120</v>
      </c>
      <c r="N15" s="4" t="s">
        <v>64</v>
      </c>
      <c r="O15" s="4" t="s">
        <v>65</v>
      </c>
      <c r="P15" s="3" t="s">
        <v>56</v>
      </c>
      <c r="Q15" s="3" t="s">
        <v>57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">
      <c r="A16" s="3">
        <v>98</v>
      </c>
      <c r="B16" s="3">
        <v>1</v>
      </c>
      <c r="C16" s="3" t="s">
        <v>66</v>
      </c>
      <c r="D16" s="3"/>
      <c r="E16" s="3" t="str">
        <f ca="1">IFERROR(__xludf.DUMMYFUNCTION("GOOGLETRANSLATE(J16, ""auto"", ""ko"")"),"타워 레코드 시부야점")</f>
        <v>타워 레코드 시부야점</v>
      </c>
      <c r="F16" s="3" t="s">
        <v>67</v>
      </c>
      <c r="G16" s="3"/>
      <c r="H16" s="3">
        <v>35.66178</v>
      </c>
      <c r="I16" s="3">
        <v>139.70080999999999</v>
      </c>
      <c r="J16" s="3" t="str">
        <f ca="1">IFERROR(__xludf.DUMMYFUNCTION("GOOGLETRANSLATE(N16, ""auto"", ""ko"")"),"도쿄도 신난 잇쵸메")</f>
        <v>도쿄도 신난 잇쵸메</v>
      </c>
      <c r="K16" s="3" t="str">
        <f ca="1">IFERROR(__xludf.DUMMYFUNCTION("GOOGLETRANSLATE(P16, ""auto"", ""ko"")"),"도쿄도")</f>
        <v>도쿄도</v>
      </c>
      <c r="L16" s="3" t="str">
        <f ca="1">IFERROR(__xludf.DUMMYFUNCTION("GOOGLETRANSLATE(R16, ""auto"", ""ko"")"),"신난 잇쵸메")</f>
        <v>신난 잇쵸메</v>
      </c>
      <c r="M16" s="3">
        <v>13113</v>
      </c>
      <c r="N16" s="4" t="s">
        <v>68</v>
      </c>
      <c r="O16" s="4" t="s">
        <v>69</v>
      </c>
      <c r="P16" s="3" t="s">
        <v>70</v>
      </c>
      <c r="Q16" s="3" t="s">
        <v>71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">
      <c r="A17" s="3">
        <v>99</v>
      </c>
      <c r="B17" s="3">
        <v>1</v>
      </c>
      <c r="C17" s="3" t="s">
        <v>66</v>
      </c>
      <c r="D17" s="3"/>
      <c r="E17" s="3" t="str">
        <f ca="1">IFERROR(__xludf.DUMMYFUNCTION("GOOGLETRANSLATE(J17, ""auto"", ""ko"")"),"신주쿠 빌딩")</f>
        <v>신주쿠 빌딩</v>
      </c>
      <c r="F17" s="3" t="s">
        <v>72</v>
      </c>
      <c r="G17" s="3"/>
      <c r="H17" s="3">
        <v>35.690959999999997</v>
      </c>
      <c r="I17" s="3">
        <v>139.69646</v>
      </c>
      <c r="J17" s="3" t="str">
        <f ca="1">IFERROR(__xludf.DUMMYFUNCTION("GOOGLETRANSLATE(N17, ""auto"", ""ko"")"),"도쿄도 니시신주쿠 잇쵸메")</f>
        <v>도쿄도 니시신주쿠 잇쵸메</v>
      </c>
      <c r="K17" s="3" t="str">
        <f ca="1">IFERROR(__xludf.DUMMYFUNCTION("GOOGLETRANSLATE(P17, ""auto"", ""ko"")"),"도쿄도")</f>
        <v>도쿄도</v>
      </c>
      <c r="L17" s="3" t="str">
        <f ca="1">IFERROR(__xludf.DUMMYFUNCTION("GOOGLETRANSLATE(R17, ""auto"", ""ko"")"),"니시신주쿠 잇쵸메")</f>
        <v>니시신주쿠 잇쵸메</v>
      </c>
      <c r="M17" s="3">
        <v>13104</v>
      </c>
      <c r="N17" s="4" t="s">
        <v>73</v>
      </c>
      <c r="O17" s="4" t="s">
        <v>74</v>
      </c>
      <c r="P17" s="3" t="s">
        <v>70</v>
      </c>
      <c r="Q17" s="3" t="s">
        <v>71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">
      <c r="A18" s="3">
        <v>100</v>
      </c>
      <c r="B18" s="3">
        <v>1</v>
      </c>
      <c r="C18" s="3" t="s">
        <v>66</v>
      </c>
      <c r="D18" s="3"/>
      <c r="E18" s="3" t="str">
        <f ca="1">IFERROR(__xludf.DUMMYFUNCTION("GOOGLETRANSLATE(J18, ""auto"", ""ko"")"),"세븐일레븐 신주쿠역 야스쿠니도리점")</f>
        <v>세븐일레븐 신주쿠역 야스쿠니도리점</v>
      </c>
      <c r="F18" s="3" t="s">
        <v>75</v>
      </c>
      <c r="G18" s="3"/>
      <c r="H18" s="3">
        <v>35.693710000000003</v>
      </c>
      <c r="I18" s="3">
        <v>139.70093</v>
      </c>
      <c r="J18" s="3" t="str">
        <f ca="1">IFERROR(__xludf.DUMMYFUNCTION("GOOGLETRANSLATE(N18, ""auto"", ""ko"")"),"도쿄도 가부키초 잇쵸메")</f>
        <v>도쿄도 가부키초 잇쵸메</v>
      </c>
      <c r="K18" s="3" t="str">
        <f ca="1">IFERROR(__xludf.DUMMYFUNCTION("GOOGLETRANSLATE(P18, ""auto"", ""ko"")"),"도쿄도")</f>
        <v>도쿄도</v>
      </c>
      <c r="L18" s="3" t="str">
        <f ca="1">IFERROR(__xludf.DUMMYFUNCTION("GOOGLETRANSLATE(R18, ""auto"", ""ko"")"),"가부키초 잇쵸메")</f>
        <v>가부키초 잇쵸메</v>
      </c>
      <c r="M18" s="3">
        <v>13104</v>
      </c>
      <c r="N18" s="4" t="s">
        <v>76</v>
      </c>
      <c r="O18" s="4" t="s">
        <v>77</v>
      </c>
      <c r="P18" s="3" t="s">
        <v>70</v>
      </c>
      <c r="Q18" s="3" t="s">
        <v>71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">
      <c r="A19" s="3">
        <v>101</v>
      </c>
      <c r="B19" s="3">
        <v>1</v>
      </c>
      <c r="C19" s="3" t="s">
        <v>66</v>
      </c>
      <c r="D19" s="3"/>
      <c r="E19" s="3" t="str">
        <f ca="1">IFERROR(__xludf.DUMMYFUNCTION("GOOGLETRANSLATE(J19, ""auto"", ""ko"")"),"나우 온 치즈 루미네 신주쿠점")</f>
        <v>나우 온 치즈 루미네 신주쿠점</v>
      </c>
      <c r="F19" s="3" t="s">
        <v>78</v>
      </c>
      <c r="G19" s="3"/>
      <c r="H19" s="3">
        <v>35.689349999999997</v>
      </c>
      <c r="I19" s="3">
        <v>139.70071999999999</v>
      </c>
      <c r="J19" s="3" t="str">
        <f ca="1">IFERROR(__xludf.DUMMYFUNCTION("GOOGLETRANSLATE(N19, ""auto"", ""ko"")"),"도쿄도 신주쿠 산쵸메")</f>
        <v>도쿄도 신주쿠 산쵸메</v>
      </c>
      <c r="K19" s="3" t="str">
        <f ca="1">IFERROR(__xludf.DUMMYFUNCTION("GOOGLETRANSLATE(P19, ""auto"", ""ko"")"),"도쿄도")</f>
        <v>도쿄도</v>
      </c>
      <c r="L19" s="3" t="str">
        <f ca="1">IFERROR(__xludf.DUMMYFUNCTION("GOOGLETRANSLATE(R19, ""auto"", ""ko"")"),"신주쿠 산쵸메")</f>
        <v>신주쿠 산쵸메</v>
      </c>
      <c r="M19" s="3">
        <v>13104</v>
      </c>
      <c r="N19" s="4" t="s">
        <v>79</v>
      </c>
      <c r="O19" s="4" t="s">
        <v>80</v>
      </c>
      <c r="P19" s="3" t="s">
        <v>70</v>
      </c>
      <c r="Q19" s="3" t="s">
        <v>71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2">
      <c r="A20" s="3">
        <v>102</v>
      </c>
      <c r="B20" s="3">
        <v>1</v>
      </c>
      <c r="C20" s="3" t="s">
        <v>66</v>
      </c>
      <c r="D20" s="3"/>
      <c r="E20" s="3" t="str">
        <f ca="1">IFERROR(__xludf.DUMMYFUNCTION("GOOGLETRANSLATE(J20, ""auto"", ""ko"")"),"카페 라 보엠 신주쿠 교엔")</f>
        <v>카페 라 보엠 신주쿠 교엔</v>
      </c>
      <c r="F20" s="3" t="s">
        <v>81</v>
      </c>
      <c r="G20" s="3"/>
      <c r="H20" s="3">
        <v>35.687579999999997</v>
      </c>
      <c r="I20" s="3">
        <v>139.71287000000001</v>
      </c>
      <c r="J20" s="3" t="str">
        <f ca="1">IFERROR(__xludf.DUMMYFUNCTION("GOOGLETRANSLATE(N20, ""auto"", ""ko"")"),"도쿄도 신주쿠 잇쵸메")</f>
        <v>도쿄도 신주쿠 잇쵸메</v>
      </c>
      <c r="K20" s="3" t="str">
        <f ca="1">IFERROR(__xludf.DUMMYFUNCTION("GOOGLETRANSLATE(P20, ""auto"", ""ko"")"),"도쿄도")</f>
        <v>도쿄도</v>
      </c>
      <c r="L20" s="3" t="str">
        <f ca="1">IFERROR(__xludf.DUMMYFUNCTION("GOOGLETRANSLATE(R20, ""auto"", ""ko"")"),"신주쿠 잇쵸메")</f>
        <v>신주쿠 잇쵸메</v>
      </c>
      <c r="M20" s="3">
        <v>13104</v>
      </c>
      <c r="N20" s="4" t="s">
        <v>82</v>
      </c>
      <c r="O20" s="4" t="s">
        <v>83</v>
      </c>
      <c r="P20" s="3" t="s">
        <v>70</v>
      </c>
      <c r="Q20" s="3" t="s">
        <v>71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2">
      <c r="A21" s="3">
        <v>103</v>
      </c>
      <c r="B21" s="3">
        <v>1</v>
      </c>
      <c r="C21" s="3" t="s">
        <v>66</v>
      </c>
      <c r="D21" s="3"/>
      <c r="E21" s="3" t="str">
        <f ca="1">IFERROR(__xludf.DUMMYFUNCTION("GOOGLETRANSLATE(J21, ""auto"", ""ko"")"),"LOVE 로버트 인디애나")</f>
        <v>LOVE 로버트 인디애나</v>
      </c>
      <c r="F21" s="3" t="s">
        <v>84</v>
      </c>
      <c r="G21" s="3"/>
      <c r="H21" s="3">
        <v>35.69265</v>
      </c>
      <c r="I21" s="3">
        <v>139.69422</v>
      </c>
      <c r="J21" s="3" t="str">
        <f ca="1">IFERROR(__xludf.DUMMYFUNCTION("GOOGLETRANSLATE(N21, ""auto"", ""ko"")"),"도쿄도 니시신주쿠 롯쵸메")</f>
        <v>도쿄도 니시신주쿠 롯쵸메</v>
      </c>
      <c r="K21" s="3" t="str">
        <f ca="1">IFERROR(__xludf.DUMMYFUNCTION("GOOGLETRANSLATE(P21, ""auto"", ""ko"")"),"도쿄도")</f>
        <v>도쿄도</v>
      </c>
      <c r="L21" s="3" t="str">
        <f ca="1">IFERROR(__xludf.DUMMYFUNCTION("GOOGLETRANSLATE(R21, ""auto"", ""ko"")"),"니시신주쿠 롯초메")</f>
        <v>니시신주쿠 롯초메</v>
      </c>
      <c r="M21" s="3">
        <v>13104</v>
      </c>
      <c r="N21" s="4" t="s">
        <v>85</v>
      </c>
      <c r="O21" s="4" t="s">
        <v>86</v>
      </c>
      <c r="P21" s="3" t="s">
        <v>70</v>
      </c>
      <c r="Q21" s="3" t="s">
        <v>71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2">
      <c r="A22" s="3">
        <v>104</v>
      </c>
      <c r="B22" s="3">
        <v>1</v>
      </c>
      <c r="C22" s="3" t="s">
        <v>66</v>
      </c>
      <c r="D22" s="3"/>
      <c r="E22" s="3" t="str">
        <f ca="1">IFERROR(__xludf.DUMMYFUNCTION("GOOGLETRANSLATE(J22, ""auto"", ""ko"")"),"메이지 신궁 외원")</f>
        <v>메이지 신궁 외원</v>
      </c>
      <c r="F22" s="3" t="s">
        <v>87</v>
      </c>
      <c r="G22" s="3"/>
      <c r="H22" s="3">
        <v>35.675170000000001</v>
      </c>
      <c r="I22" s="3">
        <v>139.71947</v>
      </c>
      <c r="J22" s="3" t="str">
        <f ca="1">IFERROR(__xludf.DUMMYFUNCTION("GOOGLETRANSLATE(N22, ""auto"", ""ko"")"),"도쿄도 카스미가오카초")</f>
        <v>도쿄도 카스미가오카초</v>
      </c>
      <c r="K22" s="3" t="str">
        <f ca="1">IFERROR(__xludf.DUMMYFUNCTION("GOOGLETRANSLATE(P22, ""auto"", ""ko"")"),"도쿄도")</f>
        <v>도쿄도</v>
      </c>
      <c r="L22" s="3" t="str">
        <f ca="1">IFERROR(__xludf.DUMMYFUNCTION("GOOGLETRANSLATE(R22, ""auto"", ""ko"")"),"카스미가오카초")</f>
        <v>카스미가오카초</v>
      </c>
      <c r="M22" s="3">
        <v>13104</v>
      </c>
      <c r="N22" s="4" t="s">
        <v>88</v>
      </c>
      <c r="O22" s="4" t="s">
        <v>89</v>
      </c>
      <c r="P22" s="3" t="s">
        <v>70</v>
      </c>
      <c r="Q22" s="3" t="s">
        <v>71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2">
      <c r="A23" s="3">
        <v>105</v>
      </c>
      <c r="B23" s="3">
        <v>1</v>
      </c>
      <c r="C23" s="3" t="s">
        <v>66</v>
      </c>
      <c r="D23" s="3"/>
      <c r="E23" s="3" t="str">
        <f ca="1">IFERROR(__xludf.DUMMYFUNCTION("GOOGLETRANSLATE(J23, ""auto"", ""ko"")"),"세이부 신주쿠 페페 &amp; Brick St.")</f>
        <v>세이부 신주쿠 페페 &amp; Brick St.</v>
      </c>
      <c r="F23" s="3" t="s">
        <v>90</v>
      </c>
      <c r="G23" s="3"/>
      <c r="H23" s="3">
        <v>35.69408</v>
      </c>
      <c r="I23" s="3">
        <v>139.70016000000001</v>
      </c>
      <c r="J23" s="3" t="str">
        <f ca="1">IFERROR(__xludf.DUMMYFUNCTION("GOOGLETRANSLATE(N23, ""auto"", ""ko"")"),"도쿄도 가부키초 잇쵸메")</f>
        <v>도쿄도 가부키초 잇쵸메</v>
      </c>
      <c r="K23" s="3" t="str">
        <f ca="1">IFERROR(__xludf.DUMMYFUNCTION("GOOGLETRANSLATE(P23, ""auto"", ""ko"")"),"도쿄도")</f>
        <v>도쿄도</v>
      </c>
      <c r="L23" s="3" t="str">
        <f ca="1">IFERROR(__xludf.DUMMYFUNCTION("GOOGLETRANSLATE(R23, ""auto"", ""ko"")"),"가부키초 잇쵸메")</f>
        <v>가부키초 잇쵸메</v>
      </c>
      <c r="M23" s="3">
        <v>13104</v>
      </c>
      <c r="N23" s="4" t="s">
        <v>91</v>
      </c>
      <c r="O23" s="4" t="s">
        <v>92</v>
      </c>
      <c r="P23" s="3" t="s">
        <v>70</v>
      </c>
      <c r="Q23" s="3" t="s">
        <v>71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2">
      <c r="A24" s="3">
        <v>106</v>
      </c>
      <c r="B24" s="3">
        <v>1</v>
      </c>
      <c r="C24" s="3" t="s">
        <v>66</v>
      </c>
      <c r="D24" s="3"/>
      <c r="E24" s="3" t="str">
        <f ca="1">IFERROR(__xludf.DUMMYFUNCTION("GOOGLETRANSLATE(J24, ""auto"", ""ko"")"),"스타벅스 커피 SHIBUYA TSUTAYA 2F점")</f>
        <v>스타벅스 커피 SHIBUYA TSUTAYA 2F점</v>
      </c>
      <c r="F24" s="3" t="s">
        <v>93</v>
      </c>
      <c r="G24" s="3"/>
      <c r="H24" s="3">
        <v>35.65981</v>
      </c>
      <c r="I24" s="3">
        <v>139.70048</v>
      </c>
      <c r="J24" s="3" t="str">
        <f ca="1">IFERROR(__xludf.DUMMYFUNCTION("GOOGLETRANSLATE(N24, ""auto"", ""ko"")"),"도쿄도 우다가와초")</f>
        <v>도쿄도 우다가와초</v>
      </c>
      <c r="K24" s="3" t="str">
        <f ca="1">IFERROR(__xludf.DUMMYFUNCTION("GOOGLETRANSLATE(P24, ""auto"", ""ko"")"),"도쿄도")</f>
        <v>도쿄도</v>
      </c>
      <c r="L24" s="3" t="str">
        <f ca="1">IFERROR(__xludf.DUMMYFUNCTION("GOOGLETRANSLATE(R24, ""auto"", ""ko"")"),"우다가와초")</f>
        <v>우다가와초</v>
      </c>
      <c r="M24" s="3">
        <v>13113</v>
      </c>
      <c r="N24" s="4" t="s">
        <v>94</v>
      </c>
      <c r="O24" s="4" t="s">
        <v>95</v>
      </c>
      <c r="P24" s="3" t="s">
        <v>70</v>
      </c>
      <c r="Q24" s="3" t="s">
        <v>71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2">
      <c r="A25" s="3">
        <v>107</v>
      </c>
      <c r="B25" s="3">
        <v>1</v>
      </c>
      <c r="C25" s="3" t="s">
        <v>66</v>
      </c>
      <c r="D25" s="3"/>
      <c r="E25" s="3" t="str">
        <f ca="1">IFERROR(__xludf.DUMMYFUNCTION("GOOGLETRANSLATE(J25, ""auto"", ""ko"")"),"다음")</f>
        <v>다음</v>
      </c>
      <c r="F25" s="3" t="s">
        <v>96</v>
      </c>
      <c r="G25" s="3" t="s">
        <v>97</v>
      </c>
      <c r="H25" s="3">
        <v>35.681759999999997</v>
      </c>
      <c r="I25" s="3">
        <v>139.72570999999999</v>
      </c>
      <c r="J25" s="3" t="str">
        <f ca="1">IFERROR(__xludf.DUMMYFUNCTION("GOOGLETRANSLATE(N25, ""auto"", ""ko"")"),"도쿄도 와카바 잇쵸메")</f>
        <v>도쿄도 와카바 잇쵸메</v>
      </c>
      <c r="K25" s="3" t="str">
        <f ca="1">IFERROR(__xludf.DUMMYFUNCTION("GOOGLETRANSLATE(P25, ""auto"", ""ko"")"),"도쿄도")</f>
        <v>도쿄도</v>
      </c>
      <c r="L25" s="3" t="str">
        <f ca="1">IFERROR(__xludf.DUMMYFUNCTION("GOOGLETRANSLATE(R25, ""auto"", ""ko"")"),"와카바 잇쵸메")</f>
        <v>와카바 잇쵸메</v>
      </c>
      <c r="M25" s="3">
        <v>13104</v>
      </c>
      <c r="N25" s="4" t="s">
        <v>98</v>
      </c>
      <c r="O25" s="4" t="s">
        <v>99</v>
      </c>
      <c r="P25" s="3" t="s">
        <v>70</v>
      </c>
      <c r="Q25" s="3" t="s">
        <v>71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2">
      <c r="A26" s="3">
        <v>108</v>
      </c>
      <c r="B26" s="3">
        <v>1</v>
      </c>
      <c r="C26" s="3" t="s">
        <v>66</v>
      </c>
      <c r="D26" s="3"/>
      <c r="E26" s="3" t="str">
        <f ca="1">IFERROR(__xludf.DUMMYFUNCTION("GOOGLETRANSLATE(J26, ""auto"", ""ko"")"),"아사히바시")</f>
        <v>아사히바시</v>
      </c>
      <c r="F26" s="3" t="s">
        <v>100</v>
      </c>
      <c r="G26" s="3"/>
      <c r="H26" s="3">
        <v>35.681609999999999</v>
      </c>
      <c r="I26" s="3">
        <v>139.72592</v>
      </c>
      <c r="J26" s="3" t="str">
        <f ca="1">IFERROR(__xludf.DUMMYFUNCTION("GOOGLETRANSLATE(N26, ""auto"", ""ko"")"),"도쿄도 와카바 잇쵸메")</f>
        <v>도쿄도 와카바 잇쵸메</v>
      </c>
      <c r="K26" s="3" t="str">
        <f ca="1">IFERROR(__xludf.DUMMYFUNCTION("GOOGLETRANSLATE(P26, ""auto"", ""ko"")"),"도쿄도")</f>
        <v>도쿄도</v>
      </c>
      <c r="L26" s="3" t="str">
        <f ca="1">IFERROR(__xludf.DUMMYFUNCTION("GOOGLETRANSLATE(R26, ""auto"", ""ko"")"),"와카바 잇쵸메")</f>
        <v>와카바 잇쵸메</v>
      </c>
      <c r="M26" s="3">
        <v>13104</v>
      </c>
      <c r="N26" s="4" t="s">
        <v>101</v>
      </c>
      <c r="O26" s="4" t="s">
        <v>102</v>
      </c>
      <c r="P26" s="3" t="s">
        <v>70</v>
      </c>
      <c r="Q26" s="3" t="s">
        <v>71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2">
      <c r="A27" s="3">
        <v>109</v>
      </c>
      <c r="B27" s="3">
        <v>1</v>
      </c>
      <c r="C27" s="3" t="s">
        <v>66</v>
      </c>
      <c r="D27" s="3"/>
      <c r="E27" s="3" t="str">
        <f ca="1">IFERROR(__xludf.DUMMYFUNCTION("GOOGLETRANSLATE(J27, ""auto"", ""ko"")"),"요츠야역")</f>
        <v>요츠야역</v>
      </c>
      <c r="F27" s="3" t="s">
        <v>103</v>
      </c>
      <c r="G27" s="3"/>
      <c r="H27" s="3">
        <v>35.685335799999997</v>
      </c>
      <c r="I27" s="3">
        <v>139.73007089999999</v>
      </c>
      <c r="J27" s="3" t="str">
        <f ca="1">IFERROR(__xludf.DUMMYFUNCTION("GOOGLETRANSLATE(N27, ""auto"", ""ko"")"),"도쿄도 료마치 롯쵸메")</f>
        <v>도쿄도 료마치 롯쵸메</v>
      </c>
      <c r="K27" s="3" t="str">
        <f ca="1">IFERROR(__xludf.DUMMYFUNCTION("GOOGLETRANSLATE(P27, ""auto"", ""ko"")"),"도쿄도")</f>
        <v>도쿄도</v>
      </c>
      <c r="L27" s="3" t="s">
        <v>104</v>
      </c>
      <c r="M27" s="3">
        <v>13101</v>
      </c>
      <c r="N27" s="4" t="s">
        <v>105</v>
      </c>
      <c r="O27" s="4" t="s">
        <v>106</v>
      </c>
      <c r="P27" s="3" t="s">
        <v>70</v>
      </c>
      <c r="Q27" s="3" t="s">
        <v>71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2">
      <c r="A28" s="3">
        <v>110</v>
      </c>
      <c r="B28" s="3">
        <v>1</v>
      </c>
      <c r="C28" s="3" t="s">
        <v>66</v>
      </c>
      <c r="D28" s="3"/>
      <c r="E28" s="3" t="str">
        <f ca="1">IFERROR(__xludf.DUMMYFUNCTION("GOOGLETRANSLATE(J28, ""auto"", ""ko"")"),"롯폰기 힐즈 전망대 도쿄 시티뷰")</f>
        <v>롯폰기 힐즈 전망대 도쿄 시티뷰</v>
      </c>
      <c r="F28" s="3" t="s">
        <v>107</v>
      </c>
      <c r="G28" s="3"/>
      <c r="H28" s="3">
        <v>35.660069999999997</v>
      </c>
      <c r="I28" s="3">
        <v>139.72928999999999</v>
      </c>
      <c r="J28" s="3" t="str">
        <f ca="1">IFERROR(__xludf.DUMMYFUNCTION("GOOGLETRANSLATE(N28, ""auto"", ""ko"")"),"도쿄도 롯폰기 롯쵸메")</f>
        <v>도쿄도 롯폰기 롯쵸메</v>
      </c>
      <c r="K28" s="3" t="str">
        <f ca="1">IFERROR(__xludf.DUMMYFUNCTION("GOOGLETRANSLATE(P28, ""auto"", ""ko"")"),"도쿄도")</f>
        <v>도쿄도</v>
      </c>
      <c r="L28" s="3" t="str">
        <f ca="1">IFERROR(__xludf.DUMMYFUNCTION("GOOGLETRANSLATE(R28, ""auto"", ""ko"")"),"롯폰기 롯쵸메")</f>
        <v>롯폰기 롯쵸메</v>
      </c>
      <c r="M28" s="3">
        <v>13103</v>
      </c>
      <c r="N28" s="4" t="s">
        <v>108</v>
      </c>
      <c r="O28" s="4" t="s">
        <v>109</v>
      </c>
      <c r="P28" s="3" t="s">
        <v>70</v>
      </c>
      <c r="Q28" s="3" t="s">
        <v>71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2">
      <c r="A29" s="3">
        <v>111</v>
      </c>
      <c r="B29" s="3">
        <v>1</v>
      </c>
      <c r="C29" s="3" t="s">
        <v>66</v>
      </c>
      <c r="D29" s="3"/>
      <c r="E29" s="3" t="str">
        <f ca="1">IFERROR(__xludf.DUMMYFUNCTION("GOOGLETRANSLATE(J29, ""auto"", ""ko"")"),"국립 신 미술관")</f>
        <v>국립 신 미술관</v>
      </c>
      <c r="F29" s="3" t="s">
        <v>110</v>
      </c>
      <c r="G29" s="3"/>
      <c r="H29" s="3">
        <v>35.664870000000001</v>
      </c>
      <c r="I29" s="3">
        <v>139.72602000000001</v>
      </c>
      <c r="J29" s="3" t="str">
        <f ca="1">IFERROR(__xludf.DUMMYFUNCTION("GOOGLETRANSLATE(N29, ""auto"", ""ko"")"),"도쿄도 롯폰기 나나초메")</f>
        <v>도쿄도 롯폰기 나나초메</v>
      </c>
      <c r="K29" s="3" t="str">
        <f ca="1">IFERROR(__xludf.DUMMYFUNCTION("GOOGLETRANSLATE(P29, ""auto"", ""ko"")"),"도쿄도")</f>
        <v>도쿄도</v>
      </c>
      <c r="L29" s="3" t="str">
        <f ca="1">IFERROR(__xludf.DUMMYFUNCTION("GOOGLETRANSLATE(R29, ""auto"", ""ko"")"),"롯폰기 나나초메")</f>
        <v>롯폰기 나나초메</v>
      </c>
      <c r="M29" s="3">
        <v>13103</v>
      </c>
      <c r="N29" s="4" t="s">
        <v>111</v>
      </c>
      <c r="O29" s="4" t="s">
        <v>112</v>
      </c>
      <c r="P29" s="3" t="s">
        <v>70</v>
      </c>
      <c r="Q29" s="3" t="s">
        <v>71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2">
      <c r="A30" s="3">
        <v>112</v>
      </c>
      <c r="B30" s="3">
        <v>1</v>
      </c>
      <c r="C30" s="3" t="s">
        <v>66</v>
      </c>
      <c r="D30" s="3"/>
      <c r="E30" s="3" t="str">
        <f ca="1">IFERROR(__xludf.DUMMYFUNCTION("GOOGLETRANSLATE(J30, ""auto"", ""ko"")"),"시나노초 보도교")</f>
        <v>시나노초 보도교</v>
      </c>
      <c r="F30" s="3" t="s">
        <v>113</v>
      </c>
      <c r="G30" s="3"/>
      <c r="H30" s="3">
        <v>35.679507100000002</v>
      </c>
      <c r="I30" s="3">
        <v>139.71973130000001</v>
      </c>
      <c r="J30" s="3" t="str">
        <f ca="1">IFERROR(__xludf.DUMMYFUNCTION("GOOGLETRANSLATE(N30, ""auto"", ""ko"")"),"도쿄도 미나미모토마치")</f>
        <v>도쿄도 미나미모토마치</v>
      </c>
      <c r="K30" s="3" t="str">
        <f ca="1">IFERROR(__xludf.DUMMYFUNCTION("GOOGLETRANSLATE(P30, ""auto"", ""ko"")"),"도쿄도")</f>
        <v>도쿄도</v>
      </c>
      <c r="L30" s="3" t="str">
        <f ca="1">IFERROR(__xludf.DUMMYFUNCTION("GOOGLETRANSLATE(R30, ""auto"", ""ko"")"),"미나미모토마치")</f>
        <v>미나미모토마치</v>
      </c>
      <c r="M30" s="3">
        <v>13104</v>
      </c>
      <c r="N30" s="4" t="s">
        <v>114</v>
      </c>
      <c r="O30" s="4" t="s">
        <v>115</v>
      </c>
      <c r="P30" s="3" t="s">
        <v>70</v>
      </c>
      <c r="Q30" s="3" t="s">
        <v>71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2">
      <c r="A31" s="3">
        <v>113</v>
      </c>
      <c r="B31" s="3">
        <v>1</v>
      </c>
      <c r="C31" s="3" t="s">
        <v>66</v>
      </c>
      <c r="D31" s="3"/>
      <c r="E31" s="3" t="str">
        <f ca="1">IFERROR(__xludf.DUMMYFUNCTION("GOOGLETRANSLATE(J31, ""auto"", ""ko"")"),"시부야 역 서쪽 출구 보도 다리 데크")</f>
        <v>시부야 역 서쪽 출구 보도 다리 데크</v>
      </c>
      <c r="F31" s="3" t="s">
        <v>116</v>
      </c>
      <c r="G31" s="3"/>
      <c r="H31" s="3">
        <v>35.65719</v>
      </c>
      <c r="I31" s="3">
        <v>139.70111</v>
      </c>
      <c r="J31" s="3" t="str">
        <f ca="1">IFERROR(__xludf.DUMMYFUNCTION("GOOGLETRANSLATE(N31, ""auto"", ""ko"")"),"도쿄도 도겐자카 잇쵸메")</f>
        <v>도쿄도 도겐자카 잇쵸메</v>
      </c>
      <c r="K31" s="3" t="str">
        <f ca="1">IFERROR(__xludf.DUMMYFUNCTION("GOOGLETRANSLATE(P31, ""auto"", ""ko"")"),"도쿄도")</f>
        <v>도쿄도</v>
      </c>
      <c r="L31" s="3" t="str">
        <f ca="1">IFERROR(__xludf.DUMMYFUNCTION("GOOGLETRANSLATE(R31, ""auto"", ""ko"")"),"도겐자카 잇쵸메")</f>
        <v>도겐자카 잇쵸메</v>
      </c>
      <c r="M31" s="3">
        <v>13113</v>
      </c>
      <c r="N31" s="4" t="s">
        <v>117</v>
      </c>
      <c r="O31" s="4" t="s">
        <v>118</v>
      </c>
      <c r="P31" s="3" t="s">
        <v>70</v>
      </c>
      <c r="Q31" s="3" t="s">
        <v>71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2">
      <c r="A32" s="3">
        <v>114</v>
      </c>
      <c r="B32" s="3">
        <v>1</v>
      </c>
      <c r="C32" s="3" t="s">
        <v>66</v>
      </c>
      <c r="D32" s="3"/>
      <c r="E32" s="3" t="str">
        <f ca="1">IFERROR(__xludf.DUMMYFUNCTION("GOOGLETRANSLATE(J32, ""auto"", ""ko"")"),"HANAGATAYA 도쿄(도시락)")</f>
        <v>HANAGATAYA 도쿄(도시락)</v>
      </c>
      <c r="F32" s="3" t="s">
        <v>119</v>
      </c>
      <c r="G32" s="3"/>
      <c r="H32" s="3">
        <v>35.680430000000001</v>
      </c>
      <c r="I32" s="3">
        <v>139.76644999999999</v>
      </c>
      <c r="J32" s="3" t="str">
        <f ca="1">IFERROR(__xludf.DUMMYFUNCTION("GOOGLETRANSLATE(N32, ""auto"", ""ko"")"),"도쿄도 마루노우치 잇쵸메")</f>
        <v>도쿄도 마루노우치 잇쵸메</v>
      </c>
      <c r="K32" s="3" t="str">
        <f ca="1">IFERROR(__xludf.DUMMYFUNCTION("GOOGLETRANSLATE(P32, ""auto"", ""ko"")"),"도쿄도")</f>
        <v>도쿄도</v>
      </c>
      <c r="L32" s="3" t="str">
        <f ca="1">IFERROR(__xludf.DUMMYFUNCTION("GOOGLETRANSLATE(R32, ""auto"", ""ko"")"),"마루노우치 잇쵸메")</f>
        <v>마루노우치 잇쵸메</v>
      </c>
      <c r="M32" s="3">
        <v>13101</v>
      </c>
      <c r="N32" s="4" t="s">
        <v>120</v>
      </c>
      <c r="O32" s="4" t="s">
        <v>121</v>
      </c>
      <c r="P32" s="3" t="s">
        <v>70</v>
      </c>
      <c r="Q32" s="3" t="s">
        <v>71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2">
      <c r="A33" s="3">
        <v>115</v>
      </c>
      <c r="B33" s="3">
        <v>1</v>
      </c>
      <c r="C33" s="3" t="s">
        <v>66</v>
      </c>
      <c r="D33" s="3"/>
      <c r="E33" s="3" t="str">
        <f ca="1">IFERROR(__xludf.DUMMYFUNCTION("GOOGLETRANSLATE(J33, ""auto"", ""ko"")"),"HANAGATAYA 도쿄 야에스 남쪽 출구")</f>
        <v>HANAGATAYA 도쿄 야에스 남쪽 출구</v>
      </c>
      <c r="F33" s="3" t="s">
        <v>122</v>
      </c>
      <c r="G33" s="3"/>
      <c r="H33" s="3">
        <v>35.680340000000001</v>
      </c>
      <c r="I33" s="3">
        <v>139.7672</v>
      </c>
      <c r="J33" s="3" t="str">
        <f ca="1">IFERROR(__xludf.DUMMYFUNCTION("GOOGLETRANSLATE(N33, ""auto"", ""ko"")"),"도쿄도 마루노우치 잇쵸메")</f>
        <v>도쿄도 마루노우치 잇쵸메</v>
      </c>
      <c r="K33" s="3" t="str">
        <f ca="1">IFERROR(__xludf.DUMMYFUNCTION("GOOGLETRANSLATE(P33, ""auto"", ""ko"")"),"도쿄도")</f>
        <v>도쿄도</v>
      </c>
      <c r="L33" s="3" t="str">
        <f ca="1">IFERROR(__xludf.DUMMYFUNCTION("GOOGLETRANSLATE(R33, ""auto"", ""ko"")"),"마루노우치 잇쵸메")</f>
        <v>마루노우치 잇쵸메</v>
      </c>
      <c r="M33" s="3">
        <v>13101</v>
      </c>
      <c r="N33" s="4" t="s">
        <v>123</v>
      </c>
      <c r="O33" s="4" t="s">
        <v>124</v>
      </c>
      <c r="P33" s="3" t="s">
        <v>70</v>
      </c>
      <c r="Q33" s="3" t="s">
        <v>71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2">
      <c r="A34" s="3">
        <v>116</v>
      </c>
      <c r="B34" s="3">
        <v>1</v>
      </c>
      <c r="C34" s="3" t="s">
        <v>66</v>
      </c>
      <c r="D34" s="3"/>
      <c r="E34" s="3" t="str">
        <f ca="1">IFERROR(__xludf.DUMMYFUNCTION("GOOGLETRANSLATE(J34, ""auto"", ""ko"")"),"진구 연식 구장 분수")</f>
        <v>진구 연식 구장 분수</v>
      </c>
      <c r="F34" s="3" t="s">
        <v>125</v>
      </c>
      <c r="G34" s="3"/>
      <c r="H34" s="3">
        <v>35.675510000000003</v>
      </c>
      <c r="I34" s="3">
        <v>139.71921</v>
      </c>
      <c r="J34" s="3" t="str">
        <f ca="1">IFERROR(__xludf.DUMMYFUNCTION("GOOGLETRANSLATE(N34, ""auto"", ""ko"")"),"도쿄도 카스미가오카초")</f>
        <v>도쿄도 카스미가오카초</v>
      </c>
      <c r="K34" s="3" t="str">
        <f ca="1">IFERROR(__xludf.DUMMYFUNCTION("GOOGLETRANSLATE(P34, ""auto"", ""ko"")"),"도쿄도")</f>
        <v>도쿄도</v>
      </c>
      <c r="L34" s="3" t="str">
        <f ca="1">IFERROR(__xludf.DUMMYFUNCTION("GOOGLETRANSLATE(R34, ""auto"", ""ko"")"),"카스미가오카초")</f>
        <v>카스미가오카초</v>
      </c>
      <c r="M34" s="3">
        <v>13104</v>
      </c>
      <c r="N34" s="4" t="s">
        <v>126</v>
      </c>
      <c r="O34" s="4" t="s">
        <v>127</v>
      </c>
      <c r="P34" s="3" t="s">
        <v>70</v>
      </c>
      <c r="Q34" s="3" t="s">
        <v>71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2">
      <c r="A35" s="3">
        <v>117</v>
      </c>
      <c r="B35" s="3">
        <v>1</v>
      </c>
      <c r="C35" s="3" t="s">
        <v>66</v>
      </c>
      <c r="D35" s="3"/>
      <c r="E35" s="3" t="str">
        <f ca="1">IFERROR(__xludf.DUMMYFUNCTION("GOOGLETRANSLATE(J35, ""auto"", ""ko"")"),"에키벤야 축제 그란스타 도쿄")</f>
        <v>에키벤야 축제 그란스타 도쿄</v>
      </c>
      <c r="F35" s="3" t="s">
        <v>128</v>
      </c>
      <c r="G35" s="3"/>
      <c r="H35" s="3">
        <v>35.6812094</v>
      </c>
      <c r="I35" s="3">
        <v>139.76696190000001</v>
      </c>
      <c r="J35" s="3" t="str">
        <f ca="1">IFERROR(__xludf.DUMMYFUNCTION("GOOGLETRANSLATE(N35, ""auto"", ""ko"")"),"도쿄도 마루노우치 잇쵸메")</f>
        <v>도쿄도 마루노우치 잇쵸메</v>
      </c>
      <c r="K35" s="3" t="str">
        <f ca="1">IFERROR(__xludf.DUMMYFUNCTION("GOOGLETRANSLATE(P35, ""auto"", ""ko"")"),"도쿄도")</f>
        <v>도쿄도</v>
      </c>
      <c r="L35" s="3" t="str">
        <f ca="1">IFERROR(__xludf.DUMMYFUNCTION("GOOGLETRANSLATE(R35, ""auto"", ""ko"")"),"마루노우치 잇쵸메")</f>
        <v>마루노우치 잇쵸메</v>
      </c>
      <c r="M35" s="3">
        <v>13101</v>
      </c>
      <c r="N35" s="4" t="s">
        <v>129</v>
      </c>
      <c r="O35" s="4" t="s">
        <v>130</v>
      </c>
      <c r="P35" s="3" t="s">
        <v>70</v>
      </c>
      <c r="Q35" s="3" t="s">
        <v>71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2">
      <c r="A36" s="3">
        <v>118</v>
      </c>
      <c r="B36" s="3">
        <v>1</v>
      </c>
      <c r="C36" s="3" t="s">
        <v>66</v>
      </c>
      <c r="D36" s="3"/>
      <c r="E36" s="3" t="str">
        <f ca="1">IFERROR(__xludf.DUMMYFUNCTION("GOOGLETRANSLATE(J36, ""auto"", ""ko"")"),"셀린느 오모테산도")</f>
        <v>셀린느 오모테산도</v>
      </c>
      <c r="F36" s="3" t="s">
        <v>131</v>
      </c>
      <c r="G36" s="3"/>
      <c r="H36" s="3">
        <v>35.665700000000001</v>
      </c>
      <c r="I36" s="3">
        <v>139.71172999999999</v>
      </c>
      <c r="J36" s="3" t="str">
        <f ca="1">IFERROR(__xludf.DUMMYFUNCTION("GOOGLETRANSLATE(N36, ""auto"", ""ko"")"),"도쿄도 기타아오야마 산쵸메")</f>
        <v>도쿄도 기타아오야마 산쵸메</v>
      </c>
      <c r="K36" s="3" t="str">
        <f ca="1">IFERROR(__xludf.DUMMYFUNCTION("GOOGLETRANSLATE(P36, ""auto"", ""ko"")"),"도쿄도")</f>
        <v>도쿄도</v>
      </c>
      <c r="L36" s="3" t="str">
        <f ca="1">IFERROR(__xludf.DUMMYFUNCTION("GOOGLETRANSLATE(R36, ""auto"", ""ko"")"),"기타아오야마 산쵸메")</f>
        <v>기타아오야마 산쵸메</v>
      </c>
      <c r="M36" s="3">
        <v>13103</v>
      </c>
      <c r="N36" s="4" t="s">
        <v>132</v>
      </c>
      <c r="O36" s="4" t="s">
        <v>133</v>
      </c>
      <c r="P36" s="3" t="s">
        <v>70</v>
      </c>
      <c r="Q36" s="3" t="s">
        <v>71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2">
      <c r="A37" s="3">
        <v>119</v>
      </c>
      <c r="B37" s="3">
        <v>1</v>
      </c>
      <c r="C37" s="3" t="s">
        <v>66</v>
      </c>
      <c r="D37" s="3"/>
      <c r="E37" s="3" t="str">
        <f ca="1">IFERROR(__xludf.DUMMYFUNCTION("GOOGLETRANSLATE(J37, ""auto"", ""ko"")"),"요요기 역")</f>
        <v>요요기 역</v>
      </c>
      <c r="F37" s="3" t="s">
        <v>134</v>
      </c>
      <c r="G37" s="3"/>
      <c r="H37" s="3">
        <v>35.683860000000003</v>
      </c>
      <c r="I37" s="3">
        <v>139.7021</v>
      </c>
      <c r="J37" s="3" t="str">
        <f ca="1">IFERROR(__xludf.DUMMYFUNCTION("GOOGLETRANSLATE(N37, ""auto"", ""ko"")"),"도쿄도 센다가야 고쵸메")</f>
        <v>도쿄도 센다가야 고쵸메</v>
      </c>
      <c r="K37" s="3" t="str">
        <f ca="1">IFERROR(__xludf.DUMMYFUNCTION("GOOGLETRANSLATE(P37, ""auto"", ""ko"")"),"도쿄도")</f>
        <v>도쿄도</v>
      </c>
      <c r="L37" s="3" t="str">
        <f ca="1">IFERROR(__xludf.DUMMYFUNCTION("GOOGLETRANSLATE(R37, ""auto"", ""ko"")"),"센다가야 고쵸메")</f>
        <v>센다가야 고쵸메</v>
      </c>
      <c r="M37" s="3">
        <v>13113</v>
      </c>
      <c r="N37" s="4" t="s">
        <v>135</v>
      </c>
      <c r="O37" s="4" t="s">
        <v>136</v>
      </c>
      <c r="P37" s="3" t="s">
        <v>70</v>
      </c>
      <c r="Q37" s="3" t="s">
        <v>71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2">
      <c r="A38" s="3">
        <v>120</v>
      </c>
      <c r="B38" s="3">
        <v>1</v>
      </c>
      <c r="C38" s="3" t="s">
        <v>66</v>
      </c>
      <c r="D38" s="3"/>
      <c r="E38" s="3" t="str">
        <f ca="1">IFERROR(__xludf.DUMMYFUNCTION("GOOGLETRANSLATE(J38, ""auto"", ""ko"")"),"벤케이 다리")</f>
        <v>벤케이 다리</v>
      </c>
      <c r="F38" s="3" t="s">
        <v>137</v>
      </c>
      <c r="G38" s="3"/>
      <c r="H38" s="3">
        <v>35.678820000000002</v>
      </c>
      <c r="I38" s="3">
        <v>139.73625000000001</v>
      </c>
      <c r="J38" s="3" t="str">
        <f ca="1">IFERROR(__xludf.DUMMYFUNCTION("GOOGLETRANSLATE(N38, ""auto"", ""ko"")"),"도쿄도 기오이초")</f>
        <v>도쿄도 기오이초</v>
      </c>
      <c r="K38" s="3" t="str">
        <f ca="1">IFERROR(__xludf.DUMMYFUNCTION("GOOGLETRANSLATE(P38, ""auto"", ""ko"")"),"도쿄도")</f>
        <v>도쿄도</v>
      </c>
      <c r="L38" s="3" t="str">
        <f ca="1">IFERROR(__xludf.DUMMYFUNCTION("GOOGLETRANSLATE(R38, ""auto"", ""ko"")"),"기오이초")</f>
        <v>기오이초</v>
      </c>
      <c r="M38" s="3">
        <v>13101</v>
      </c>
      <c r="N38" s="4" t="s">
        <v>138</v>
      </c>
      <c r="O38" s="4" t="s">
        <v>139</v>
      </c>
      <c r="P38" s="3" t="s">
        <v>70</v>
      </c>
      <c r="Q38" s="3" t="s">
        <v>71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2">
      <c r="A39" s="3">
        <v>121</v>
      </c>
      <c r="B39" s="3">
        <v>1</v>
      </c>
      <c r="C39" s="3" t="s">
        <v>66</v>
      </c>
      <c r="D39" s="3"/>
      <c r="E39" s="3" t="str">
        <f ca="1">IFERROR(__xludf.DUMMYFUNCTION("GOOGLETRANSLATE(J39, ""auto"", ""ko"")"),"아카사카 지구 구명 유래판")</f>
        <v>아카사카 지구 구명 유래판</v>
      </c>
      <c r="F39" s="3" t="s">
        <v>140</v>
      </c>
      <c r="G39" s="3"/>
      <c r="H39" s="3">
        <v>35.677630000000001</v>
      </c>
      <c r="I39" s="3">
        <v>139.73690999999999</v>
      </c>
      <c r="J39" s="3" t="str">
        <f ca="1">IFERROR(__xludf.DUMMYFUNCTION("GOOGLETRANSLATE(N39, ""auto"", ""ko"")"),"도쿄도 아카사카 산쵸메")</f>
        <v>도쿄도 아카사카 산쵸메</v>
      </c>
      <c r="K39" s="3" t="str">
        <f ca="1">IFERROR(__xludf.DUMMYFUNCTION("GOOGLETRANSLATE(P39, ""auto"", ""ko"")"),"도쿄도")</f>
        <v>도쿄도</v>
      </c>
      <c r="L39" s="3" t="str">
        <f ca="1">IFERROR(__xludf.DUMMYFUNCTION("GOOGLETRANSLATE(R39, ""auto"", ""ko"")"),"아카사카 산쵸메")</f>
        <v>아카사카 산쵸메</v>
      </c>
      <c r="M39" s="3">
        <v>13103</v>
      </c>
      <c r="N39" s="4" t="s">
        <v>141</v>
      </c>
      <c r="O39" s="4" t="s">
        <v>142</v>
      </c>
      <c r="P39" s="3" t="s">
        <v>70</v>
      </c>
      <c r="Q39" s="3" t="s">
        <v>71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">
      <c r="A40" s="3">
        <v>122</v>
      </c>
      <c r="B40" s="3">
        <v>1</v>
      </c>
      <c r="C40" s="3" t="s">
        <v>66</v>
      </c>
      <c r="D40" s="3"/>
      <c r="E40" s="3" t="str">
        <f ca="1">IFERROR(__xludf.DUMMYFUNCTION("GOOGLETRANSLATE(J40, ""auto"", ""ko"")"),"기이쿠니자카")</f>
        <v>기이쿠니자카</v>
      </c>
      <c r="F40" s="3" t="s">
        <v>143</v>
      </c>
      <c r="G40" s="3"/>
      <c r="H40" s="3">
        <v>35.67906</v>
      </c>
      <c r="I40" s="3">
        <v>139.73293000000001</v>
      </c>
      <c r="J40" s="3" t="str">
        <f ca="1">IFERROR(__xludf.DUMMYFUNCTION("GOOGLETRANSLATE(N40, ""auto"", ""ko"")"),"도쿄도 모토아카사카 니쵸메")</f>
        <v>도쿄도 모토아카사카 니쵸메</v>
      </c>
      <c r="K40" s="3" t="str">
        <f ca="1">IFERROR(__xludf.DUMMYFUNCTION("GOOGLETRANSLATE(P40, ""auto"", ""ko"")"),"도쿄도")</f>
        <v>도쿄도</v>
      </c>
      <c r="L40" s="3" t="str">
        <f ca="1">IFERROR(__xludf.DUMMYFUNCTION("GOOGLETRANSLATE(R40, ""auto"", ""ko"")"),"전 아카사카 니쵸메")</f>
        <v>전 아카사카 니쵸메</v>
      </c>
      <c r="M40" s="3">
        <v>13103</v>
      </c>
      <c r="N40" s="4" t="s">
        <v>144</v>
      </c>
      <c r="O40" s="4" t="s">
        <v>145</v>
      </c>
      <c r="P40" s="3" t="s">
        <v>70</v>
      </c>
      <c r="Q40" s="3" t="s">
        <v>71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">
      <c r="A41" s="3">
        <v>123</v>
      </c>
      <c r="B41" s="3">
        <v>1</v>
      </c>
      <c r="C41" s="3" t="s">
        <v>66</v>
      </c>
      <c r="D41" s="3"/>
      <c r="E41" s="3" t="str">
        <f ca="1">IFERROR(__xludf.DUMMYFUNCTION("GOOGLETRANSLATE(J41, ""auto"", ""ko"")"),"喰违见附迹")</f>
        <v>喰违见附迹</v>
      </c>
      <c r="F41" s="3" t="s">
        <v>146</v>
      </c>
      <c r="G41" s="3" t="s">
        <v>147</v>
      </c>
      <c r="H41" s="3">
        <v>35.680889999999998</v>
      </c>
      <c r="I41" s="3">
        <v>139.73165</v>
      </c>
      <c r="J41" s="3" t="str">
        <f ca="1">IFERROR(__xludf.DUMMYFUNCTION("GOOGLETRANSLATE(N41, ""auto"", ""ko"")"),"도쿄도 모토아카사카 니쵸메")</f>
        <v>도쿄도 모토아카사카 니쵸메</v>
      </c>
      <c r="K41" s="3" t="str">
        <f ca="1">IFERROR(__xludf.DUMMYFUNCTION("GOOGLETRANSLATE(P41, ""auto"", ""ko"")"),"도쿄도")</f>
        <v>도쿄도</v>
      </c>
      <c r="L41" s="3" t="str">
        <f ca="1">IFERROR(__xludf.DUMMYFUNCTION("GOOGLETRANSLATE(R41, ""auto"", ""ko"")"),"전 아카사카 니쵸메")</f>
        <v>전 아카사카 니쵸메</v>
      </c>
      <c r="M41" s="3">
        <v>13103</v>
      </c>
      <c r="N41" s="4" t="s">
        <v>148</v>
      </c>
      <c r="O41" s="4" t="s">
        <v>149</v>
      </c>
      <c r="P41" s="3" t="s">
        <v>70</v>
      </c>
      <c r="Q41" s="3" t="s">
        <v>71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">
      <c r="A42" s="3">
        <v>124</v>
      </c>
      <c r="B42" s="3">
        <v>1</v>
      </c>
      <c r="C42" s="3" t="s">
        <v>66</v>
      </c>
      <c r="D42" s="3"/>
      <c r="E42" s="3" t="str">
        <f ca="1">IFERROR(__xludf.DUMMYFUNCTION("GOOGLETRANSLATE(J42, ""auto"", ""ko"")"),"카페 벨로체 니시신주쿠점 부근")</f>
        <v>카페 벨로체 니시신주쿠점 부근</v>
      </c>
      <c r="F42" s="3" t="s">
        <v>150</v>
      </c>
      <c r="G42" s="3"/>
      <c r="H42" s="3">
        <v>35.69341</v>
      </c>
      <c r="I42" s="3">
        <v>139.69730999999999</v>
      </c>
      <c r="J42" s="3" t="str">
        <f ca="1">IFERROR(__xludf.DUMMYFUNCTION("GOOGLETRANSLATE(N42, ""auto"", ""ko"")"),"도쿄도 니시신주쿠 나나초메")</f>
        <v>도쿄도 니시신주쿠 나나초메</v>
      </c>
      <c r="K42" s="3" t="str">
        <f ca="1">IFERROR(__xludf.DUMMYFUNCTION("GOOGLETRANSLATE(P42, ""auto"", ""ko"")"),"도쿄도")</f>
        <v>도쿄도</v>
      </c>
      <c r="L42" s="3" t="str">
        <f ca="1">IFERROR(__xludf.DUMMYFUNCTION("GOOGLETRANSLATE(R42, ""auto"", ""ko"")"),"니시신주쿠 나나초메")</f>
        <v>니시신주쿠 나나초메</v>
      </c>
      <c r="M42" s="3">
        <v>13104</v>
      </c>
      <c r="N42" s="4" t="s">
        <v>151</v>
      </c>
      <c r="O42" s="4" t="s">
        <v>152</v>
      </c>
      <c r="P42" s="3" t="s">
        <v>70</v>
      </c>
      <c r="Q42" s="3" t="s">
        <v>71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">
      <c r="A43" s="3">
        <v>125</v>
      </c>
      <c r="B43" s="3">
        <v>1</v>
      </c>
      <c r="C43" s="3" t="s">
        <v>66</v>
      </c>
      <c r="D43" s="3"/>
      <c r="E43" s="3" t="str">
        <f ca="1">IFERROR(__xludf.DUMMYFUNCTION("GOOGLETRANSLATE(J43, ""auto"", ""ko"")"),"기타산도역")</f>
        <v>기타산도역</v>
      </c>
      <c r="F43" s="3" t="s">
        <v>153</v>
      </c>
      <c r="G43" s="3"/>
      <c r="H43" s="3">
        <v>35.678559999999997</v>
      </c>
      <c r="I43" s="3">
        <v>139.7054</v>
      </c>
      <c r="J43" s="3" t="str">
        <f ca="1">IFERROR(__xludf.DUMMYFUNCTION("GOOGLETRANSLATE(N43, ""auto"", ""ko"")"),"도쿄도 센다가야 산쵸메")</f>
        <v>도쿄도 센다가야 산쵸메</v>
      </c>
      <c r="K43" s="3" t="str">
        <f ca="1">IFERROR(__xludf.DUMMYFUNCTION("GOOGLETRANSLATE(P43, ""auto"", ""ko"")"),"도쿄도")</f>
        <v>도쿄도</v>
      </c>
      <c r="L43" s="3" t="str">
        <f ca="1">IFERROR(__xludf.DUMMYFUNCTION("GOOGLETRANSLATE(R43, ""auto"", ""ko"")"),"센다가야 산쵸메")</f>
        <v>센다가야 산쵸메</v>
      </c>
      <c r="M43" s="3">
        <v>13113</v>
      </c>
      <c r="N43" s="4" t="s">
        <v>154</v>
      </c>
      <c r="O43" s="4" t="s">
        <v>155</v>
      </c>
      <c r="P43" s="3" t="s">
        <v>70</v>
      </c>
      <c r="Q43" s="3" t="s">
        <v>71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">
      <c r="A44" s="3">
        <v>126</v>
      </c>
      <c r="B44" s="3">
        <v>1</v>
      </c>
      <c r="C44" s="3" t="s">
        <v>66</v>
      </c>
      <c r="D44" s="3"/>
      <c r="E44" s="3" t="str">
        <f ca="1">IFERROR(__xludf.DUMMYFUNCTION("GOOGLETRANSLATE(J44, ""auto"", ""ko"")"),"VIEW ALTTE JR 신주쿠역 남쪽 출입구 발매기 옆")</f>
        <v>VIEW ALTTE JR 신주쿠역 남쪽 출입구 발매기 옆</v>
      </c>
      <c r="F44" s="3" t="s">
        <v>156</v>
      </c>
      <c r="G44" s="3"/>
      <c r="H44" s="3">
        <v>35.689399999999999</v>
      </c>
      <c r="I44" s="3">
        <v>139.70017999999999</v>
      </c>
      <c r="J44" s="3" t="str">
        <f ca="1">IFERROR(__xludf.DUMMYFUNCTION("GOOGLETRANSLATE(N44, ""auto"", ""ko"")"),"도쿄도 신주쿠 산쵸메")</f>
        <v>도쿄도 신주쿠 산쵸메</v>
      </c>
      <c r="K44" s="3" t="str">
        <f ca="1">IFERROR(__xludf.DUMMYFUNCTION("GOOGLETRANSLATE(P44, ""auto"", ""ko"")"),"도쿄도")</f>
        <v>도쿄도</v>
      </c>
      <c r="L44" s="3" t="str">
        <f ca="1">IFERROR(__xludf.DUMMYFUNCTION("GOOGLETRANSLATE(R44, ""auto"", ""ko"")"),"신주쿠 산쵸메")</f>
        <v>신주쿠 산쵸메</v>
      </c>
      <c r="M44" s="3">
        <v>13104</v>
      </c>
      <c r="N44" s="4" t="s">
        <v>157</v>
      </c>
      <c r="O44" s="4" t="s">
        <v>158</v>
      </c>
      <c r="P44" s="3" t="s">
        <v>70</v>
      </c>
      <c r="Q44" s="3" t="s">
        <v>71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2">
      <c r="A45" s="3">
        <v>127</v>
      </c>
      <c r="B45" s="3">
        <v>1</v>
      </c>
      <c r="C45" s="3" t="s">
        <v>66</v>
      </c>
      <c r="D45" s="3"/>
      <c r="E45" s="3" t="str">
        <f ca="1">IFERROR(__xludf.DUMMYFUNCTION("GOOGLETRANSLATE(J45, ""auto"", ""ko"")"),"센다가야역")</f>
        <v>센다가야역</v>
      </c>
      <c r="F45" s="3" t="s">
        <v>159</v>
      </c>
      <c r="G45" s="3"/>
      <c r="H45" s="3">
        <v>35.680697100000003</v>
      </c>
      <c r="I45" s="3">
        <v>139.71151090000001</v>
      </c>
      <c r="J45" s="3" t="str">
        <f ca="1">IFERROR(__xludf.DUMMYFUNCTION("GOOGLETRANSLATE(N45, ""auto"", ""ko"")"),"도쿄도 센다가야 잇쵸메")</f>
        <v>도쿄도 센다가야 잇쵸메</v>
      </c>
      <c r="K45" s="3" t="str">
        <f ca="1">IFERROR(__xludf.DUMMYFUNCTION("GOOGLETRANSLATE(P45, ""auto"", ""ko"")"),"도쿄도")</f>
        <v>도쿄도</v>
      </c>
      <c r="L45" s="3" t="str">
        <f ca="1">IFERROR(__xludf.DUMMYFUNCTION("GOOGLETRANSLATE(R45, ""auto"", ""ko"")"),"센다가야 잇쵸메")</f>
        <v>센다가야 잇쵸메</v>
      </c>
      <c r="M45" s="3">
        <v>13113</v>
      </c>
      <c r="N45" s="4" t="s">
        <v>160</v>
      </c>
      <c r="O45" s="4" t="s">
        <v>161</v>
      </c>
      <c r="P45" s="3" t="s">
        <v>70</v>
      </c>
      <c r="Q45" s="3" t="s">
        <v>71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2">
      <c r="A46" s="3">
        <v>128</v>
      </c>
      <c r="B46" s="3">
        <v>1</v>
      </c>
      <c r="C46" s="3" t="s">
        <v>66</v>
      </c>
      <c r="D46" s="3"/>
      <c r="E46" s="3" t="str">
        <f ca="1">IFERROR(__xludf.DUMMYFUNCTION("GOOGLETRANSLATE(J46, ""auto"", ""ko"")"),"사이카파크 시나노마치역 주륜장 A지역")</f>
        <v>사이카파크 시나노마치역 주륜장 A지역</v>
      </c>
      <c r="F46" s="3" t="s">
        <v>162</v>
      </c>
      <c r="G46" s="3"/>
      <c r="H46" s="3">
        <v>35.68027</v>
      </c>
      <c r="I46" s="3">
        <v>139.71906000000001</v>
      </c>
      <c r="J46" s="3" t="str">
        <f ca="1">IFERROR(__xludf.DUMMYFUNCTION("GOOGLETRANSLATE(N46, ""auto"", ""ko"")"),"도쿄도 시나노초")</f>
        <v>도쿄도 시나노초</v>
      </c>
      <c r="K46" s="3" t="str">
        <f ca="1">IFERROR(__xludf.DUMMYFUNCTION("GOOGLETRANSLATE(P46, ""auto"", ""ko"")"),"도쿄도")</f>
        <v>도쿄도</v>
      </c>
      <c r="L46" s="3" t="str">
        <f ca="1">IFERROR(__xludf.DUMMYFUNCTION("GOOGLETRANSLATE(R46, ""auto"", ""ko"")"),"시나노초")</f>
        <v>시나노초</v>
      </c>
      <c r="M46" s="3">
        <v>13104</v>
      </c>
      <c r="N46" s="4" t="s">
        <v>163</v>
      </c>
      <c r="O46" s="4" t="s">
        <v>164</v>
      </c>
      <c r="P46" s="3" t="s">
        <v>70</v>
      </c>
      <c r="Q46" s="3" t="s">
        <v>71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2">
      <c r="A47" s="3">
        <v>129</v>
      </c>
      <c r="B47" s="3">
        <v>1</v>
      </c>
      <c r="C47" s="3" t="s">
        <v>66</v>
      </c>
      <c r="D47" s="3"/>
      <c r="E47" s="3" t="str">
        <f ca="1">IFERROR(__xludf.DUMMYFUNCTION("GOOGLETRANSLATE(J47, ""auto"", ""ko"")"),"엔도지 사카")</f>
        <v>엔도지 사카</v>
      </c>
      <c r="F47" s="3" t="s">
        <v>165</v>
      </c>
      <c r="G47" s="3" t="s">
        <v>166</v>
      </c>
      <c r="H47" s="3">
        <v>35.686660000000003</v>
      </c>
      <c r="I47" s="3">
        <v>139.7226</v>
      </c>
      <c r="J47" s="3" t="str">
        <f ca="1">IFERROR(__xludf.DUMMYFUNCTION("GOOGLETRANSLATE(N47, ""auto"", ""ko"")"),"도쿄도 스카마치")</f>
        <v>도쿄도 스카마치</v>
      </c>
      <c r="K47" s="3" t="str">
        <f ca="1">IFERROR(__xludf.DUMMYFUNCTION("GOOGLETRANSLATE(P47, ""auto"", ""ko"")"),"도쿄도")</f>
        <v>도쿄도</v>
      </c>
      <c r="L47" s="3" t="str">
        <f ca="1">IFERROR(__xludf.DUMMYFUNCTION("GOOGLETRANSLATE(R47, ""auto"", ""ko"")"),"스가쵸")</f>
        <v>스가쵸</v>
      </c>
      <c r="M47" s="3">
        <v>13104</v>
      </c>
      <c r="N47" s="4" t="s">
        <v>167</v>
      </c>
      <c r="O47" s="4" t="s">
        <v>168</v>
      </c>
      <c r="P47" s="3" t="s">
        <v>70</v>
      </c>
      <c r="Q47" s="3" t="s">
        <v>71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2">
      <c r="A48" s="3">
        <v>130</v>
      </c>
      <c r="B48" s="3">
        <v>1</v>
      </c>
      <c r="C48" s="3" t="s">
        <v>66</v>
      </c>
      <c r="D48" s="3"/>
      <c r="E48" s="3" t="str">
        <f ca="1">IFERROR(__xludf.DUMMYFUNCTION("GOOGLETRANSLATE(J48, ""auto"", ""ko"")"),"히가시후쿠인자카")</f>
        <v>히가시후쿠인자카</v>
      </c>
      <c r="F48" s="3" t="s">
        <v>169</v>
      </c>
      <c r="G48" s="3"/>
      <c r="H48" s="3">
        <v>35.685519999999997</v>
      </c>
      <c r="I48" s="3">
        <v>139.72368</v>
      </c>
      <c r="J48" s="3" t="str">
        <f ca="1">IFERROR(__xludf.DUMMYFUNCTION("GOOGLETRANSLATE(N48, ""auto"", ""ko"")"),"도쿄도 와카바 니쵸메")</f>
        <v>도쿄도 와카바 니쵸메</v>
      </c>
      <c r="K48" s="3" t="str">
        <f ca="1">IFERROR(__xludf.DUMMYFUNCTION("GOOGLETRANSLATE(P48, ""auto"", ""ko"")"),"도쿄도")</f>
        <v>도쿄도</v>
      </c>
      <c r="L48" s="3" t="str">
        <f ca="1">IFERROR(__xludf.DUMMYFUNCTION("GOOGLETRANSLATE(R48, ""auto"", ""ko"")"),"와카바 니쵸메")</f>
        <v>와카바 니쵸메</v>
      </c>
      <c r="M48" s="3">
        <v>13104</v>
      </c>
      <c r="N48" s="4" t="s">
        <v>170</v>
      </c>
      <c r="O48" s="4" t="s">
        <v>171</v>
      </c>
      <c r="P48" s="3" t="s">
        <v>70</v>
      </c>
      <c r="Q48" s="3" t="s">
        <v>71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2">
      <c r="A49" s="3">
        <v>131</v>
      </c>
      <c r="B49" s="3">
        <v>1</v>
      </c>
      <c r="C49" s="3" t="s">
        <v>66</v>
      </c>
      <c r="D49" s="3"/>
      <c r="E49" s="3" t="str">
        <f ca="1">IFERROR(__xludf.DUMMYFUNCTION("GOOGLETRANSLATE(J49, ""auto"", ""ko"")"),"스가 신사 오사카")</f>
        <v>스가 신사 오사카</v>
      </c>
      <c r="F49" s="3" t="s">
        <v>172</v>
      </c>
      <c r="G49" s="3"/>
      <c r="H49" s="3">
        <v>35.685049999999997</v>
      </c>
      <c r="I49" s="3">
        <v>139.72333</v>
      </c>
      <c r="J49" s="3" t="str">
        <f ca="1">IFERROR(__xludf.DUMMYFUNCTION("GOOGLETRANSLATE(N49, ""auto"", ""ko"")"),"도쿄도 스카마치")</f>
        <v>도쿄도 스카마치</v>
      </c>
      <c r="K49" s="3" t="str">
        <f ca="1">IFERROR(__xludf.DUMMYFUNCTION("GOOGLETRANSLATE(P49, ""auto"", ""ko"")"),"도쿄도")</f>
        <v>도쿄도</v>
      </c>
      <c r="L49" s="3" t="str">
        <f ca="1">IFERROR(__xludf.DUMMYFUNCTION("GOOGLETRANSLATE(R49, ""auto"", ""ko"")"),"스가쵸")</f>
        <v>스가쵸</v>
      </c>
      <c r="M49" s="3">
        <v>13104</v>
      </c>
      <c r="N49" s="4" t="s">
        <v>173</v>
      </c>
      <c r="O49" s="4" t="s">
        <v>174</v>
      </c>
      <c r="P49" s="3" t="s">
        <v>70</v>
      </c>
      <c r="Q49" s="3" t="s">
        <v>71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2">
      <c r="A50" s="3">
        <v>132</v>
      </c>
      <c r="B50" s="3">
        <v>1</v>
      </c>
      <c r="C50" s="3" t="s">
        <v>175</v>
      </c>
      <c r="D50" s="3" t="s">
        <v>176</v>
      </c>
      <c r="E50" s="3" t="str">
        <f ca="1">IFERROR(__xludf.DUMMYFUNCTION("GOOGLETRANSLATE(J50, ""auto"", ""ko"")"),"센다가야 터널")</f>
        <v>센다가야 터널</v>
      </c>
      <c r="F50" s="3" t="s">
        <v>177</v>
      </c>
      <c r="G50" s="3"/>
      <c r="H50" s="3">
        <v>35.675460000000001</v>
      </c>
      <c r="I50" s="3">
        <v>139.71153000000001</v>
      </c>
      <c r="J50" s="3" t="str">
        <f ca="1">IFERROR(__xludf.DUMMYFUNCTION("GOOGLETRANSLATE(N50, ""auto"", ""ko"")"),"도쿄도 센다가야 니쵸메")</f>
        <v>도쿄도 센다가야 니쵸메</v>
      </c>
      <c r="K50" s="3" t="str">
        <f ca="1">IFERROR(__xludf.DUMMYFUNCTION("GOOGLETRANSLATE(P50, ""auto"", ""ko"")"),"도쿄도")</f>
        <v>도쿄도</v>
      </c>
      <c r="L50" s="3" t="str">
        <f ca="1">IFERROR(__xludf.DUMMYFUNCTION("GOOGLETRANSLATE(R50, ""auto"", ""ko"")"),"센다가야 니쵸메")</f>
        <v>센다가야 니쵸메</v>
      </c>
      <c r="M50" s="3">
        <v>13113</v>
      </c>
      <c r="N50" s="4" t="s">
        <v>178</v>
      </c>
      <c r="O50" s="4" t="s">
        <v>179</v>
      </c>
      <c r="P50" s="3" t="s">
        <v>180</v>
      </c>
      <c r="Q50" s="3" t="s">
        <v>181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2">
      <c r="A51" s="3">
        <v>133</v>
      </c>
      <c r="B51" s="3">
        <v>1</v>
      </c>
      <c r="C51" s="3" t="s">
        <v>175</v>
      </c>
      <c r="D51" s="3" t="s">
        <v>176</v>
      </c>
      <c r="E51" s="3" t="str">
        <f ca="1">IFERROR(__xludf.DUMMYFUNCTION("GOOGLETRANSLATE(J51, ""auto"", ""ko"")"),"롯폰기 힐즈")</f>
        <v>롯폰기 힐즈</v>
      </c>
      <c r="F51" s="3" t="s">
        <v>182</v>
      </c>
      <c r="G51" s="3"/>
      <c r="H51" s="3">
        <v>35.660739999999997</v>
      </c>
      <c r="I51" s="3">
        <v>139.73014000000001</v>
      </c>
      <c r="J51" s="3" t="str">
        <f ca="1">IFERROR(__xludf.DUMMYFUNCTION("GOOGLETRANSLATE(N51, ""auto"", ""ko"")"),"도쿄도 롯폰기 롯쵸메")</f>
        <v>도쿄도 롯폰기 롯쵸메</v>
      </c>
      <c r="K51" s="3" t="str">
        <f ca="1">IFERROR(__xludf.DUMMYFUNCTION("GOOGLETRANSLATE(P51, ""auto"", ""ko"")"),"도쿄도")</f>
        <v>도쿄도</v>
      </c>
      <c r="L51" s="3" t="str">
        <f ca="1">IFERROR(__xludf.DUMMYFUNCTION("GOOGLETRANSLATE(R51, ""auto"", ""ko"")"),"롯폰기 롯쵸메")</f>
        <v>롯폰기 롯쵸메</v>
      </c>
      <c r="M51" s="3">
        <v>13103</v>
      </c>
      <c r="N51" s="4" t="s">
        <v>183</v>
      </c>
      <c r="O51" s="4" t="s">
        <v>184</v>
      </c>
      <c r="P51" s="3" t="s">
        <v>180</v>
      </c>
      <c r="Q51" s="3" t="s">
        <v>181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2">
      <c r="A52" s="3">
        <v>134</v>
      </c>
      <c r="B52" s="3">
        <v>1</v>
      </c>
      <c r="C52" s="3" t="s">
        <v>175</v>
      </c>
      <c r="D52" s="3" t="s">
        <v>176</v>
      </c>
      <c r="E52" s="3" t="str">
        <f ca="1">IFERROR(__xludf.DUMMYFUNCTION("GOOGLETRANSLATE(J52, ""auto"", ""ko"")"),"우에노 동물원")</f>
        <v>우에노 동물원</v>
      </c>
      <c r="F52" s="3" t="s">
        <v>185</v>
      </c>
      <c r="G52" s="3"/>
      <c r="H52" s="3">
        <v>35.716450000000002</v>
      </c>
      <c r="I52" s="3">
        <v>139.77257</v>
      </c>
      <c r="J52" s="3" t="str">
        <f ca="1">IFERROR(__xludf.DUMMYFUNCTION("GOOGLETRANSLATE(N52, ""auto"", ""ko"")"),"도쿄도 우에노 공원")</f>
        <v>도쿄도 우에노 공원</v>
      </c>
      <c r="K52" s="3" t="str">
        <f ca="1">IFERROR(__xludf.DUMMYFUNCTION("GOOGLETRANSLATE(P52, ""auto"", ""ko"")"),"도쿄도")</f>
        <v>도쿄도</v>
      </c>
      <c r="L52" s="3" t="str">
        <f ca="1">IFERROR(__xludf.DUMMYFUNCTION("GOOGLETRANSLATE(R52, ""auto"", ""ko"")"),"우에노 공원")</f>
        <v>우에노 공원</v>
      </c>
      <c r="M52" s="3">
        <v>13106</v>
      </c>
      <c r="N52" s="4" t="s">
        <v>186</v>
      </c>
      <c r="O52" s="4" t="s">
        <v>187</v>
      </c>
      <c r="P52" s="3" t="s">
        <v>180</v>
      </c>
      <c r="Q52" s="3" t="s">
        <v>181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2">
      <c r="A53" s="3">
        <v>135</v>
      </c>
      <c r="B53" s="3">
        <v>1</v>
      </c>
      <c r="C53" s="3" t="s">
        <v>175</v>
      </c>
      <c r="D53" s="3" t="s">
        <v>176</v>
      </c>
      <c r="E53" s="3" t="str">
        <f ca="1">IFERROR(__xludf.DUMMYFUNCTION("GOOGLETRANSLATE(J53, ""auto"", ""ko"")"),"니콜라이 베르그만 플라워 &amp; 디자인 플래그십 스토어")</f>
        <v>니콜라이 베르그만 플라워 &amp; 디자인 플래그십 스토어</v>
      </c>
      <c r="F53" s="3" t="s">
        <v>188</v>
      </c>
      <c r="G53" s="3"/>
      <c r="H53" s="3">
        <v>35.663080000000001</v>
      </c>
      <c r="I53" s="3">
        <v>139.71285</v>
      </c>
      <c r="J53" s="3" t="str">
        <f ca="1">IFERROR(__xludf.DUMMYFUNCTION("GOOGLETRANSLATE(N53, ""auto"", ""ko"")"),"도쿄도 미나미아오야마 고쵸메")</f>
        <v>도쿄도 미나미아오야마 고쵸메</v>
      </c>
      <c r="K53" s="3" t="str">
        <f ca="1">IFERROR(__xludf.DUMMYFUNCTION("GOOGLETRANSLATE(P53, ""auto"", ""ko"")"),"도쿄도")</f>
        <v>도쿄도</v>
      </c>
      <c r="L53" s="3" t="str">
        <f ca="1">IFERROR(__xludf.DUMMYFUNCTION("GOOGLETRANSLATE(R53, ""auto"", ""ko"")"),"미나미아오야마 고쵸메")</f>
        <v>미나미아오야마 고쵸메</v>
      </c>
      <c r="M53" s="3">
        <v>13103</v>
      </c>
      <c r="N53" s="4" t="s">
        <v>189</v>
      </c>
      <c r="O53" s="4" t="s">
        <v>190</v>
      </c>
      <c r="P53" s="3" t="s">
        <v>180</v>
      </c>
      <c r="Q53" s="3" t="s">
        <v>181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2">
      <c r="A54" s="3">
        <v>136</v>
      </c>
      <c r="B54" s="3">
        <v>1</v>
      </c>
      <c r="C54" s="3" t="s">
        <v>175</v>
      </c>
      <c r="D54" s="3" t="s">
        <v>176</v>
      </c>
      <c r="E54" s="3" t="str">
        <f ca="1">IFERROR(__xludf.DUMMYFUNCTION("GOOGLETRANSLATE(J54, ""auto"", ""ko"")"),"대전 흑공원")</f>
        <v>대전 흑공원</v>
      </c>
      <c r="F54" s="3" t="s">
        <v>191</v>
      </c>
      <c r="G54" s="3" t="s">
        <v>192</v>
      </c>
      <c r="H54" s="3">
        <v>35.700279999999999</v>
      </c>
      <c r="I54" s="3">
        <v>139.62513999999999</v>
      </c>
      <c r="J54" s="3" t="str">
        <f ca="1">IFERROR(__xludf.DUMMYFUNCTION("GOOGLETRANSLATE(N54, ""auto"", ""ko"")"),"도쿄도 오기쿠보 산쵸메")</f>
        <v>도쿄도 오기쿠보 산쵸메</v>
      </c>
      <c r="K54" s="3" t="str">
        <f ca="1">IFERROR(__xludf.DUMMYFUNCTION("GOOGLETRANSLATE(P54, ""auto"", ""ko"")"),"도쿄도")</f>
        <v>도쿄도</v>
      </c>
      <c r="L54" s="3" t="str">
        <f ca="1">IFERROR(__xludf.DUMMYFUNCTION("GOOGLETRANSLATE(R54, ""auto"", ""ko"")"),"오기쿠보 산쵸메")</f>
        <v>오기쿠보 산쵸메</v>
      </c>
      <c r="M54" s="3">
        <v>13115</v>
      </c>
      <c r="N54" s="4" t="s">
        <v>193</v>
      </c>
      <c r="O54" s="4" t="s">
        <v>194</v>
      </c>
      <c r="P54" s="3" t="s">
        <v>180</v>
      </c>
      <c r="Q54" s="3" t="s">
        <v>181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2">
      <c r="A55" s="3">
        <v>137</v>
      </c>
      <c r="B55" s="3">
        <v>1</v>
      </c>
      <c r="C55" s="3" t="s">
        <v>175</v>
      </c>
      <c r="D55" s="3" t="s">
        <v>176</v>
      </c>
      <c r="E55" s="3" t="str">
        <f ca="1">IFERROR(__xludf.DUMMYFUNCTION("GOOGLETRANSLATE(J55, ""auto"", ""ko"")"),"HUB 키치죠지 미나미구치점")</f>
        <v>HUB 키치죠지 미나미구치점</v>
      </c>
      <c r="F55" s="3" t="s">
        <v>195</v>
      </c>
      <c r="G55" s="3"/>
      <c r="H55" s="3">
        <v>35.702710000000003</v>
      </c>
      <c r="I55" s="3">
        <v>139.57919999999999</v>
      </c>
      <c r="J55" s="3" t="str">
        <f ca="1">IFERROR(__xludf.DUMMYFUNCTION("GOOGLETRANSLATE(N55, ""auto"", ""ko"")"),"도쿄도 키치죠지 미나미마치 잇쵸메")</f>
        <v>도쿄도 키치죠지 미나미마치 잇쵸메</v>
      </c>
      <c r="K55" s="3" t="str">
        <f ca="1">IFERROR(__xludf.DUMMYFUNCTION("GOOGLETRANSLATE(P55, ""auto"", ""ko"")"),"도쿄도")</f>
        <v>도쿄도</v>
      </c>
      <c r="L55" s="3" t="str">
        <f ca="1">IFERROR(__xludf.DUMMYFUNCTION("GOOGLETRANSLATE(R55, ""auto"", ""ko"")"),"키치죠지 미나미마치 잇쵸메")</f>
        <v>키치죠지 미나미마치 잇쵸메</v>
      </c>
      <c r="M55" s="3">
        <v>13203</v>
      </c>
      <c r="N55" s="4" t="s">
        <v>196</v>
      </c>
      <c r="O55" s="4" t="s">
        <v>197</v>
      </c>
      <c r="P55" s="3" t="s">
        <v>180</v>
      </c>
      <c r="Q55" s="3" t="s">
        <v>181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2">
      <c r="A56" s="3">
        <v>138</v>
      </c>
      <c r="B56" s="3">
        <v>1</v>
      </c>
      <c r="C56" s="3" t="s">
        <v>175</v>
      </c>
      <c r="D56" s="3" t="s">
        <v>176</v>
      </c>
      <c r="E56" s="3" t="str">
        <f ca="1">IFERROR(__xludf.DUMMYFUNCTION("GOOGLETRANSLATE(J56, ""auto"", ""ko"")"),"스바루빌 신주쿠의 눈")</f>
        <v>스바루빌 신주쿠의 눈</v>
      </c>
      <c r="F56" s="3" t="s">
        <v>198</v>
      </c>
      <c r="G56" s="3"/>
      <c r="H56" s="3">
        <v>35.691369999999999</v>
      </c>
      <c r="I56" s="3">
        <v>139.69799</v>
      </c>
      <c r="J56" s="3" t="str">
        <f ca="1">IFERROR(__xludf.DUMMYFUNCTION("GOOGLETRANSLATE(N56, ""auto"", ""ko"")"),"도쿄도 니시신주쿠 잇쵸메")</f>
        <v>도쿄도 니시신주쿠 잇쵸메</v>
      </c>
      <c r="K56" s="3" t="str">
        <f ca="1">IFERROR(__xludf.DUMMYFUNCTION("GOOGLETRANSLATE(P56, ""auto"", ""ko"")"),"도쿄도")</f>
        <v>도쿄도</v>
      </c>
      <c r="L56" s="3" t="str">
        <f ca="1">IFERROR(__xludf.DUMMYFUNCTION("GOOGLETRANSLATE(R56, ""auto"", ""ko"")"),"니시신주쿠 잇쵸메")</f>
        <v>니시신주쿠 잇쵸메</v>
      </c>
      <c r="M56" s="3">
        <v>13104</v>
      </c>
      <c r="N56" s="4" t="s">
        <v>199</v>
      </c>
      <c r="O56" s="4" t="s">
        <v>200</v>
      </c>
      <c r="P56" s="3" t="s">
        <v>180</v>
      </c>
      <c r="Q56" s="3" t="s">
        <v>181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2">
      <c r="A57" s="3">
        <v>139</v>
      </c>
      <c r="B57" s="3">
        <v>1</v>
      </c>
      <c r="C57" s="3" t="s">
        <v>175</v>
      </c>
      <c r="D57" s="3" t="s">
        <v>58</v>
      </c>
      <c r="E57" s="3" t="str">
        <f ca="1">IFERROR(__xludf.DUMMYFUNCTION("GOOGLETRANSLATE(J57, ""auto"", ""ko"")"),"다케시타도리 입구 아치(하라주쿠역)")</f>
        <v>다케시타도리 입구 아치(하라주쿠역)</v>
      </c>
      <c r="F57" s="3" t="s">
        <v>201</v>
      </c>
      <c r="G57" s="3" t="s">
        <v>202</v>
      </c>
      <c r="H57" s="3">
        <v>35.671559999999999</v>
      </c>
      <c r="I57" s="3">
        <v>139.70316</v>
      </c>
      <c r="J57" s="3" t="str">
        <f ca="1">IFERROR(__xludf.DUMMYFUNCTION("GOOGLETRANSLATE(N57, ""auto"", ""ko"")"),"도쿄도 진구마에 잇쵸메")</f>
        <v>도쿄도 진구마에 잇쵸메</v>
      </c>
      <c r="K57" s="3" t="str">
        <f ca="1">IFERROR(__xludf.DUMMYFUNCTION("GOOGLETRANSLATE(P57, ""auto"", ""ko"")"),"도쿄도")</f>
        <v>도쿄도</v>
      </c>
      <c r="L57" s="3" t="str">
        <f ca="1">IFERROR(__xludf.DUMMYFUNCTION("GOOGLETRANSLATE(R57, ""auto"", ""ko"")"),"진구마에 잇쵸메")</f>
        <v>진구마에 잇쵸메</v>
      </c>
      <c r="M57" s="3">
        <v>13113</v>
      </c>
      <c r="N57" s="4" t="s">
        <v>203</v>
      </c>
      <c r="O57" s="4" t="s">
        <v>204</v>
      </c>
      <c r="P57" s="3" t="s">
        <v>180</v>
      </c>
      <c r="Q57" s="3" t="s">
        <v>181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2">
      <c r="A58" s="3">
        <v>140</v>
      </c>
      <c r="B58" s="3">
        <v>1</v>
      </c>
      <c r="C58" s="3" t="s">
        <v>175</v>
      </c>
      <c r="D58" s="3" t="s">
        <v>58</v>
      </c>
      <c r="E58" s="3" t="str">
        <f ca="1">IFERROR(__xludf.DUMMYFUNCTION("GOOGLETRANSLATE(J58, ""auto"", ""ko"")"),"하라주쿠역")</f>
        <v>하라주쿠역</v>
      </c>
      <c r="F58" s="3" t="s">
        <v>205</v>
      </c>
      <c r="G58" s="3"/>
      <c r="H58" s="3">
        <v>35.669919999999998</v>
      </c>
      <c r="I58" s="3">
        <v>139.70274000000001</v>
      </c>
      <c r="J58" s="3" t="str">
        <f ca="1">IFERROR(__xludf.DUMMYFUNCTION("GOOGLETRANSLATE(N58, ""auto"", ""ko"")"),"도쿄도 진구마에 잇쵸메")</f>
        <v>도쿄도 진구마에 잇쵸메</v>
      </c>
      <c r="K58" s="3" t="str">
        <f ca="1">IFERROR(__xludf.DUMMYFUNCTION("GOOGLETRANSLATE(P58, ""auto"", ""ko"")"),"도쿄도")</f>
        <v>도쿄도</v>
      </c>
      <c r="L58" s="3" t="str">
        <f ca="1">IFERROR(__xludf.DUMMYFUNCTION("GOOGLETRANSLATE(R58, ""auto"", ""ko"")"),"진구마에 잇쵸메")</f>
        <v>진구마에 잇쵸메</v>
      </c>
      <c r="M58" s="3">
        <v>13113</v>
      </c>
      <c r="N58" s="4" t="s">
        <v>206</v>
      </c>
      <c r="O58" s="4" t="s">
        <v>207</v>
      </c>
      <c r="P58" s="3" t="s">
        <v>180</v>
      </c>
      <c r="Q58" s="3" t="s">
        <v>181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2">
      <c r="A59" s="3">
        <v>141</v>
      </c>
      <c r="B59" s="3">
        <v>1</v>
      </c>
      <c r="C59" s="3" t="s">
        <v>175</v>
      </c>
      <c r="D59" s="3" t="s">
        <v>58</v>
      </c>
      <c r="E59" s="3" t="str">
        <f ca="1">IFERROR(__xludf.DUMMYFUNCTION("GOOGLETRANSLATE(J59, ""auto"", ""ko"")"),"청바지 메이트 다케시타 도리점")</f>
        <v>청바지 메이트 다케시타 도리점</v>
      </c>
      <c r="F59" s="3" t="s">
        <v>208</v>
      </c>
      <c r="G59" s="3"/>
      <c r="H59" s="3">
        <v>35.671340000000001</v>
      </c>
      <c r="I59" s="3">
        <v>139.70434</v>
      </c>
      <c r="J59" s="3" t="str">
        <f ca="1">IFERROR(__xludf.DUMMYFUNCTION("GOOGLETRANSLATE(N59, ""auto"", ""ko"")"),"도쿄도 진구마에 잇쵸메")</f>
        <v>도쿄도 진구마에 잇쵸메</v>
      </c>
      <c r="K59" s="3" t="str">
        <f ca="1">IFERROR(__xludf.DUMMYFUNCTION("GOOGLETRANSLATE(P59, ""auto"", ""ko"")"),"도쿄도")</f>
        <v>도쿄도</v>
      </c>
      <c r="L59" s="3" t="str">
        <f ca="1">IFERROR(__xludf.DUMMYFUNCTION("GOOGLETRANSLATE(R59, ""auto"", ""ko"")"),"진구마에 잇쵸메")</f>
        <v>진구마에 잇쵸메</v>
      </c>
      <c r="M59" s="3">
        <v>13113</v>
      </c>
      <c r="N59" s="4" t="s">
        <v>209</v>
      </c>
      <c r="O59" s="4" t="s">
        <v>210</v>
      </c>
      <c r="P59" s="3" t="s">
        <v>180</v>
      </c>
      <c r="Q59" s="3" t="s">
        <v>181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2">
      <c r="A60" s="3">
        <v>142</v>
      </c>
      <c r="B60" s="3">
        <v>1</v>
      </c>
      <c r="C60" s="3" t="s">
        <v>175</v>
      </c>
      <c r="D60" s="3" t="s">
        <v>58</v>
      </c>
      <c r="E60" s="3" t="str">
        <f ca="1">IFERROR(__xludf.DUMMYFUNCTION("GOOGLETRANSLATE(J60, ""auto"", ""ko"")"),"후지코인 로커 K-2340")</f>
        <v>후지코인 로커 K-2340</v>
      </c>
      <c r="F60" s="3" t="s">
        <v>211</v>
      </c>
      <c r="G60" s="3"/>
      <c r="H60" s="3">
        <v>35.671250000000001</v>
      </c>
      <c r="I60" s="3">
        <v>139.70337000000001</v>
      </c>
      <c r="J60" s="3" t="str">
        <f ca="1">IFERROR(__xludf.DUMMYFUNCTION("GOOGLETRANSLATE(N60, ""auto"", ""ko"")"),"도쿄도 진구마에 잇쵸메")</f>
        <v>도쿄도 진구마에 잇쵸메</v>
      </c>
      <c r="K60" s="3" t="str">
        <f ca="1">IFERROR(__xludf.DUMMYFUNCTION("GOOGLETRANSLATE(P60, ""auto"", ""ko"")"),"도쿄도")</f>
        <v>도쿄도</v>
      </c>
      <c r="L60" s="3" t="str">
        <f ca="1">IFERROR(__xludf.DUMMYFUNCTION("GOOGLETRANSLATE(R60, ""auto"", ""ko"")"),"진구마에 잇쵸메")</f>
        <v>진구마에 잇쵸메</v>
      </c>
      <c r="M60" s="3">
        <v>13113</v>
      </c>
      <c r="N60" s="4" t="s">
        <v>212</v>
      </c>
      <c r="O60" s="4" t="s">
        <v>213</v>
      </c>
      <c r="P60" s="3" t="s">
        <v>180</v>
      </c>
      <c r="Q60" s="3" t="s">
        <v>181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2">
      <c r="A61" s="3">
        <v>143</v>
      </c>
      <c r="B61" s="3">
        <v>1</v>
      </c>
      <c r="C61" s="3" t="s">
        <v>175</v>
      </c>
      <c r="D61" s="3" t="s">
        <v>58</v>
      </c>
      <c r="E61" s="3" t="str">
        <f ca="1">IFERROR(__xludf.DUMMYFUNCTION("GOOGLETRANSLATE(J61, ""auto"", ""ko"")"),"롯폰기역")</f>
        <v>롯폰기역</v>
      </c>
      <c r="F61" s="3" t="s">
        <v>214</v>
      </c>
      <c r="G61" s="3"/>
      <c r="H61" s="3">
        <v>35.663139999999999</v>
      </c>
      <c r="I61" s="3">
        <v>139.73253</v>
      </c>
      <c r="J61" s="3" t="str">
        <f ca="1">IFERROR(__xludf.DUMMYFUNCTION("GOOGLETRANSLATE(N61, ""auto"", ""ko"")"),"도쿄도 롯폰기 산쵸메")</f>
        <v>도쿄도 롯폰기 산쵸메</v>
      </c>
      <c r="K61" s="3" t="str">
        <f ca="1">IFERROR(__xludf.DUMMYFUNCTION("GOOGLETRANSLATE(P61, ""auto"", ""ko"")"),"도쿄도")</f>
        <v>도쿄도</v>
      </c>
      <c r="L61" s="3" t="str">
        <f ca="1">IFERROR(__xludf.DUMMYFUNCTION("GOOGLETRANSLATE(R61, ""auto"", ""ko"")"),"롯폰기 산쵸메")</f>
        <v>롯폰기 산쵸메</v>
      </c>
      <c r="M61" s="3">
        <v>13103</v>
      </c>
      <c r="N61" s="4" t="s">
        <v>215</v>
      </c>
      <c r="O61" s="4" t="s">
        <v>216</v>
      </c>
      <c r="P61" s="3" t="s">
        <v>180</v>
      </c>
      <c r="Q61" s="3" t="s">
        <v>181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2">
      <c r="A62" s="3">
        <v>144</v>
      </c>
      <c r="B62" s="3">
        <v>1</v>
      </c>
      <c r="C62" s="3" t="s">
        <v>175</v>
      </c>
      <c r="D62" s="3" t="s">
        <v>58</v>
      </c>
      <c r="E62" s="3" t="str">
        <f ca="1">IFERROR(__xludf.DUMMYFUNCTION("GOOGLETRANSLATE(J62, ""auto"", ""ko"")"),"롯폰기 케야키자카 거리")</f>
        <v>롯폰기 케야키자카 거리</v>
      </c>
      <c r="F62" s="3" t="s">
        <v>217</v>
      </c>
      <c r="G62" s="3"/>
      <c r="H62" s="3">
        <v>35.659190000000002</v>
      </c>
      <c r="I62" s="3">
        <v>139.73034000000001</v>
      </c>
      <c r="J62" s="3" t="str">
        <f ca="1">IFERROR(__xludf.DUMMYFUNCTION("GOOGLETRANSLATE(N62, ""auto"", ""ko"")"),"도쿄도 롯폰기 롯쵸메")</f>
        <v>도쿄도 롯폰기 롯쵸메</v>
      </c>
      <c r="K62" s="3" t="str">
        <f ca="1">IFERROR(__xludf.DUMMYFUNCTION("GOOGLETRANSLATE(P62, ""auto"", ""ko"")"),"도쿄도")</f>
        <v>도쿄도</v>
      </c>
      <c r="L62" s="3" t="str">
        <f ca="1">IFERROR(__xludf.DUMMYFUNCTION("GOOGLETRANSLATE(R62, ""auto"", ""ko"")"),"롯폰기 롯쵸메")</f>
        <v>롯폰기 롯쵸메</v>
      </c>
      <c r="M62" s="3">
        <v>13103</v>
      </c>
      <c r="N62" s="4" t="s">
        <v>218</v>
      </c>
      <c r="O62" s="4" t="s">
        <v>219</v>
      </c>
      <c r="P62" s="3" t="s">
        <v>180</v>
      </c>
      <c r="Q62" s="3" t="s">
        <v>181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2">
      <c r="A63" s="3">
        <v>145</v>
      </c>
      <c r="B63" s="3">
        <v>1</v>
      </c>
      <c r="C63" s="3" t="s">
        <v>175</v>
      </c>
      <c r="D63" s="3" t="s">
        <v>58</v>
      </c>
      <c r="E63" s="3" t="str">
        <f ca="1">IFERROR(__xludf.DUMMYFUNCTION("GOOGLETRANSLATE(J63, ""auto"", ""ko"")"),"롯폰기 힐즈 전망대 도쿄 시티뷰")</f>
        <v>롯폰기 힐즈 전망대 도쿄 시티뷰</v>
      </c>
      <c r="F63" s="3" t="s">
        <v>107</v>
      </c>
      <c r="G63" s="3"/>
      <c r="H63" s="3">
        <v>35.660170000000001</v>
      </c>
      <c r="I63" s="3">
        <v>139.72936999999999</v>
      </c>
      <c r="J63" s="3" t="str">
        <f ca="1">IFERROR(__xludf.DUMMYFUNCTION("GOOGLETRANSLATE(N63, ""auto"", ""ko"")"),"도쿄도 롯폰기 롯쵸메")</f>
        <v>도쿄도 롯폰기 롯쵸메</v>
      </c>
      <c r="K63" s="3" t="str">
        <f ca="1">IFERROR(__xludf.DUMMYFUNCTION("GOOGLETRANSLATE(P63, ""auto"", ""ko"")"),"도쿄도")</f>
        <v>도쿄도</v>
      </c>
      <c r="L63" s="3" t="str">
        <f ca="1">IFERROR(__xludf.DUMMYFUNCTION("GOOGLETRANSLATE(R63, ""auto"", ""ko"")"),"롯폰기 롯쵸메")</f>
        <v>롯폰기 롯쵸메</v>
      </c>
      <c r="M63" s="3">
        <v>13103</v>
      </c>
      <c r="N63" s="4" t="s">
        <v>220</v>
      </c>
      <c r="O63" s="4" t="s">
        <v>221</v>
      </c>
      <c r="P63" s="3" t="s">
        <v>180</v>
      </c>
      <c r="Q63" s="3" t="s">
        <v>181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2">
      <c r="A64" s="3">
        <v>146</v>
      </c>
      <c r="B64" s="3">
        <v>1</v>
      </c>
      <c r="C64" s="3" t="s">
        <v>175</v>
      </c>
      <c r="D64" s="3" t="s">
        <v>58</v>
      </c>
      <c r="E64" s="3" t="str">
        <f ca="1">IFERROR(__xludf.DUMMYFUNCTION("GOOGLETRANSLATE(J64, ""auto"", ""ko"")"),"시티 하우스 요요기")</f>
        <v>시티 하우스 요요기</v>
      </c>
      <c r="F64" s="3" t="s">
        <v>222</v>
      </c>
      <c r="G64" s="3"/>
      <c r="H64" s="3">
        <v>35.68121</v>
      </c>
      <c r="I64" s="3">
        <v>139.70278999999999</v>
      </c>
      <c r="J64" s="3" t="str">
        <f ca="1">IFERROR(__xludf.DUMMYFUNCTION("GOOGLETRANSLATE(N64, ""auto"", ""ko"")"),"도쿄도 요요기 잇쵸메")</f>
        <v>도쿄도 요요기 잇쵸메</v>
      </c>
      <c r="K64" s="3" t="str">
        <f ca="1">IFERROR(__xludf.DUMMYFUNCTION("GOOGLETRANSLATE(P64, ""auto"", ""ko"")"),"도쿄도")</f>
        <v>도쿄도</v>
      </c>
      <c r="L64" s="3" t="str">
        <f ca="1">IFERROR(__xludf.DUMMYFUNCTION("GOOGLETRANSLATE(R64, ""auto"", ""ko"")"),"요요기 잇쵸메")</f>
        <v>요요기 잇쵸메</v>
      </c>
      <c r="M64" s="3">
        <v>13113</v>
      </c>
      <c r="N64" s="4" t="s">
        <v>223</v>
      </c>
      <c r="O64" s="4" t="s">
        <v>224</v>
      </c>
      <c r="P64" s="3" t="s">
        <v>180</v>
      </c>
      <c r="Q64" s="3" t="s">
        <v>181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2">
      <c r="A65" s="3">
        <v>147</v>
      </c>
      <c r="B65" s="3">
        <v>1</v>
      </c>
      <c r="C65" s="3" t="s">
        <v>175</v>
      </c>
      <c r="D65" s="3" t="s">
        <v>58</v>
      </c>
      <c r="E65" s="3" t="str">
        <f ca="1">IFERROR(__xludf.DUMMYFUNCTION("GOOGLETRANSLATE(J65, ""auto"", ""ko"")"),"요요기 역")</f>
        <v>요요기 역</v>
      </c>
      <c r="F65" s="3" t="s">
        <v>134</v>
      </c>
      <c r="G65" s="3"/>
      <c r="H65" s="3">
        <v>35.68289</v>
      </c>
      <c r="I65" s="3">
        <v>139.70187000000001</v>
      </c>
      <c r="J65" s="3" t="str">
        <f ca="1">IFERROR(__xludf.DUMMYFUNCTION("GOOGLETRANSLATE(N65, ""auto"", ""ko"")"),"도쿄도 요요기 잇쵸메")</f>
        <v>도쿄도 요요기 잇쵸메</v>
      </c>
      <c r="K65" s="3" t="str">
        <f ca="1">IFERROR(__xludf.DUMMYFUNCTION("GOOGLETRANSLATE(P65, ""auto"", ""ko"")"),"도쿄도")</f>
        <v>도쿄도</v>
      </c>
      <c r="L65" s="3" t="str">
        <f ca="1">IFERROR(__xludf.DUMMYFUNCTION("GOOGLETRANSLATE(R65, ""auto"", ""ko"")"),"요요기 잇쵸메")</f>
        <v>요요기 잇쵸메</v>
      </c>
      <c r="M65" s="3">
        <v>13113</v>
      </c>
      <c r="N65" s="4" t="s">
        <v>225</v>
      </c>
      <c r="O65" s="4" t="s">
        <v>226</v>
      </c>
      <c r="P65" s="3" t="s">
        <v>180</v>
      </c>
      <c r="Q65" s="3" t="s">
        <v>181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2">
      <c r="A66" s="3">
        <v>148</v>
      </c>
      <c r="B66" s="3">
        <v>1</v>
      </c>
      <c r="C66" s="3" t="s">
        <v>175</v>
      </c>
      <c r="D66" s="3" t="s">
        <v>227</v>
      </c>
      <c r="E66" s="3" t="str">
        <f ca="1">IFERROR(__xludf.DUMMYFUNCTION("GOOGLETRANSLATE(J66, ""auto"", ""ko"")"),"류세이도 약국 신주쿠점")</f>
        <v>류세이도 약국 신주쿠점</v>
      </c>
      <c r="F66" s="3" t="s">
        <v>228</v>
      </c>
      <c r="G66" s="3"/>
      <c r="H66" s="3">
        <v>35.693249999999999</v>
      </c>
      <c r="I66" s="3">
        <v>139.70229</v>
      </c>
      <c r="J66" s="3" t="str">
        <f ca="1">IFERROR(__xludf.DUMMYFUNCTION("GOOGLETRANSLATE(N66, ""auto"", ""ko"")"),"도쿄도 신주쿠 산쵸메")</f>
        <v>도쿄도 신주쿠 산쵸메</v>
      </c>
      <c r="K66" s="3" t="str">
        <f ca="1">IFERROR(__xludf.DUMMYFUNCTION("GOOGLETRANSLATE(P66, ""auto"", ""ko"")"),"도쿄도")</f>
        <v>도쿄도</v>
      </c>
      <c r="L66" s="3" t="str">
        <f ca="1">IFERROR(__xludf.DUMMYFUNCTION("GOOGLETRANSLATE(R66, ""auto"", ""ko"")"),"신주쿠 산쵸메")</f>
        <v>신주쿠 산쵸메</v>
      </c>
      <c r="M66" s="3">
        <v>13104</v>
      </c>
      <c r="N66" s="4" t="s">
        <v>229</v>
      </c>
      <c r="O66" s="4" t="s">
        <v>230</v>
      </c>
      <c r="P66" s="3" t="s">
        <v>180</v>
      </c>
      <c r="Q66" s="3" t="s">
        <v>181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2">
      <c r="A67" s="3">
        <v>149</v>
      </c>
      <c r="B67" s="3">
        <v>1</v>
      </c>
      <c r="C67" s="3" t="s">
        <v>175</v>
      </c>
      <c r="D67" s="3" t="s">
        <v>227</v>
      </c>
      <c r="E67" s="3" t="str">
        <f ca="1">IFERROR(__xludf.DUMMYFUNCTION("GOOGLETRANSLATE(J67, ""auto"", ""ko"")"),"가스트 신주쿠 야스쿠니 통점")</f>
        <v>가스트 신주쿠 야스쿠니 통점</v>
      </c>
      <c r="F67" s="3" t="s">
        <v>231</v>
      </c>
      <c r="G67" s="3"/>
      <c r="H67" s="3">
        <v>35.693069999999999</v>
      </c>
      <c r="I67" s="3">
        <v>139.70411999999999</v>
      </c>
      <c r="J67" s="3" t="str">
        <f ca="1">IFERROR(__xludf.DUMMYFUNCTION("GOOGLETRANSLATE(N67, ""auto"", ""ko"")"),"도쿄도 가부키초 잇쵸메")</f>
        <v>도쿄도 가부키초 잇쵸메</v>
      </c>
      <c r="K67" s="3" t="str">
        <f ca="1">IFERROR(__xludf.DUMMYFUNCTION("GOOGLETRANSLATE(P67, ""auto"", ""ko"")"),"도쿄도")</f>
        <v>도쿄도</v>
      </c>
      <c r="L67" s="3" t="str">
        <f ca="1">IFERROR(__xludf.DUMMYFUNCTION("GOOGLETRANSLATE(R67, ""auto"", ""ko"")"),"가부키초 잇쵸메")</f>
        <v>가부키초 잇쵸메</v>
      </c>
      <c r="M67" s="3">
        <v>13104</v>
      </c>
      <c r="N67" s="4" t="s">
        <v>232</v>
      </c>
      <c r="O67" s="4" t="s">
        <v>233</v>
      </c>
      <c r="P67" s="3" t="s">
        <v>180</v>
      </c>
      <c r="Q67" s="3" t="s">
        <v>181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2">
      <c r="A68" s="3">
        <v>150</v>
      </c>
      <c r="B68" s="3">
        <v>1</v>
      </c>
      <c r="C68" s="3" t="s">
        <v>175</v>
      </c>
      <c r="D68" s="3" t="s">
        <v>234</v>
      </c>
      <c r="E68" s="3" t="str">
        <f ca="1">IFERROR(__xludf.DUMMYFUNCTION("GOOGLETRANSLATE(J68, ""auto"", ""ko"")"),"온다 다리터")</f>
        <v>온다 다리터</v>
      </c>
      <c r="F68" s="3" t="s">
        <v>235</v>
      </c>
      <c r="G68" s="3" t="s">
        <v>236</v>
      </c>
      <c r="H68" s="3">
        <v>35.666499999999999</v>
      </c>
      <c r="I68" s="3">
        <v>139.70597000000001</v>
      </c>
      <c r="J68" s="3" t="str">
        <f ca="1">IFERROR(__xludf.DUMMYFUNCTION("GOOGLETRANSLATE(N68, ""auto"", ""ko"")"),"도쿄도 진구마에 롯초메")</f>
        <v>도쿄도 진구마에 롯초메</v>
      </c>
      <c r="K68" s="3" t="str">
        <f ca="1">IFERROR(__xludf.DUMMYFUNCTION("GOOGLETRANSLATE(P68, ""auto"", ""ko"")"),"도쿄도")</f>
        <v>도쿄도</v>
      </c>
      <c r="L68" s="3" t="str">
        <f ca="1">IFERROR(__xludf.DUMMYFUNCTION("GOOGLETRANSLATE(R68, ""auto"", ""ko"")"),"진구마에 롯초메")</f>
        <v>진구마에 롯초메</v>
      </c>
      <c r="M68" s="3">
        <v>13113</v>
      </c>
      <c r="N68" s="4" t="s">
        <v>237</v>
      </c>
      <c r="O68" s="4" t="s">
        <v>238</v>
      </c>
      <c r="P68" s="3" t="s">
        <v>180</v>
      </c>
      <c r="Q68" s="3" t="s">
        <v>181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2">
      <c r="A69" s="3">
        <v>151</v>
      </c>
      <c r="B69" s="3">
        <v>1</v>
      </c>
      <c r="C69" s="3" t="s">
        <v>175</v>
      </c>
      <c r="D69" s="3" t="s">
        <v>239</v>
      </c>
      <c r="E69" s="3" t="str">
        <f ca="1">IFERROR(__xludf.DUMMYFUNCTION("GOOGLETRANSLATE(J69, ""auto"", ""ko"")"),"AOKI 키치죠지 선로드점")</f>
        <v>AOKI 키치죠지 선로드점</v>
      </c>
      <c r="F69" s="3" t="s">
        <v>240</v>
      </c>
      <c r="G69" s="3" t="s">
        <v>241</v>
      </c>
      <c r="H69" s="3">
        <v>35.704720000000002</v>
      </c>
      <c r="I69" s="3">
        <v>139.58044000000001</v>
      </c>
      <c r="J69" s="3" t="str">
        <f ca="1">IFERROR(__xludf.DUMMYFUNCTION("GOOGLETRANSLATE(N69, ""auto"", ""ko"")"),"도쿄도 키치죠지 혼마치 잇쵸메")</f>
        <v>도쿄도 키치죠지 혼마치 잇쵸메</v>
      </c>
      <c r="K69" s="3" t="str">
        <f ca="1">IFERROR(__xludf.DUMMYFUNCTION("GOOGLETRANSLATE(P69, ""auto"", ""ko"")"),"도쿄도")</f>
        <v>도쿄도</v>
      </c>
      <c r="L69" s="3" t="str">
        <f ca="1">IFERROR(__xludf.DUMMYFUNCTION("GOOGLETRANSLATE(R69, ""auto"", ""ko"")"),"키치죠지 혼마치 잇쵸메")</f>
        <v>키치죠지 혼마치 잇쵸메</v>
      </c>
      <c r="M69" s="3">
        <v>13203</v>
      </c>
      <c r="N69" s="4" t="s">
        <v>242</v>
      </c>
      <c r="O69" s="4" t="s">
        <v>243</v>
      </c>
      <c r="P69" s="3" t="s">
        <v>180</v>
      </c>
      <c r="Q69" s="3" t="s">
        <v>181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2">
      <c r="A70" s="3">
        <v>152</v>
      </c>
      <c r="B70" s="3">
        <v>1</v>
      </c>
      <c r="C70" s="3" t="s">
        <v>175</v>
      </c>
      <c r="D70" s="3" t="s">
        <v>239</v>
      </c>
      <c r="E70" s="3" t="str">
        <f ca="1">IFERROR(__xludf.DUMMYFUNCTION("GOOGLETRANSLATE(J70, ""auto"", ""ko"")"),"키치죠지 플라자")</f>
        <v>키치죠지 플라자</v>
      </c>
      <c r="F70" s="3" t="s">
        <v>244</v>
      </c>
      <c r="G70" s="3"/>
      <c r="H70" s="3">
        <v>35.706629999999997</v>
      </c>
      <c r="I70" s="3">
        <v>139.58061000000001</v>
      </c>
      <c r="J70" s="3" t="str">
        <f ca="1">IFERROR(__xludf.DUMMYFUNCTION("GOOGLETRANSLATE(N70, ""auto"", ""ko"")"),"도쿄도 키치죠지 혼마치 잇쵸메")</f>
        <v>도쿄도 키치죠지 혼마치 잇쵸메</v>
      </c>
      <c r="K70" s="3" t="str">
        <f ca="1">IFERROR(__xludf.DUMMYFUNCTION("GOOGLETRANSLATE(P70, ""auto"", ""ko"")"),"도쿄도")</f>
        <v>도쿄도</v>
      </c>
      <c r="L70" s="3" t="str">
        <f ca="1">IFERROR(__xludf.DUMMYFUNCTION("GOOGLETRANSLATE(R70, ""auto"", ""ko"")"),"키치죠지 혼마치 잇쵸메")</f>
        <v>키치죠지 혼마치 잇쵸메</v>
      </c>
      <c r="M70" s="3">
        <v>13203</v>
      </c>
      <c r="N70" s="4" t="s">
        <v>245</v>
      </c>
      <c r="O70" s="4" t="s">
        <v>246</v>
      </c>
      <c r="P70" s="3" t="s">
        <v>180</v>
      </c>
      <c r="Q70" s="3" t="s">
        <v>181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2">
      <c r="A71" s="3">
        <v>153</v>
      </c>
      <c r="B71" s="3">
        <v>1</v>
      </c>
      <c r="C71" s="3" t="s">
        <v>175</v>
      </c>
      <c r="D71" s="3" t="s">
        <v>247</v>
      </c>
      <c r="E71" s="3" t="str">
        <f ca="1">IFERROR(__xludf.DUMMYFUNCTION("GOOGLETRANSLATE(J71, ""auto"", ""ko"")"),"미스터 도넛 키치 죠지 선로드 숍")</f>
        <v>미스터 도넛 키치 죠지 선로드 숍</v>
      </c>
      <c r="F71" s="3" t="s">
        <v>248</v>
      </c>
      <c r="G71" s="3"/>
      <c r="H71" s="3">
        <v>35.705329999999996</v>
      </c>
      <c r="I71" s="3">
        <v>139.58063000000001</v>
      </c>
      <c r="J71" s="3" t="str">
        <f ca="1">IFERROR(__xludf.DUMMYFUNCTION("GOOGLETRANSLATE(N71, ""auto"", ""ko"")"),"도쿄도 키치죠지 혼마치 잇쵸메")</f>
        <v>도쿄도 키치죠지 혼마치 잇쵸메</v>
      </c>
      <c r="K71" s="3" t="str">
        <f ca="1">IFERROR(__xludf.DUMMYFUNCTION("GOOGLETRANSLATE(P71, ""auto"", ""ko"")"),"도쿄도")</f>
        <v>도쿄도</v>
      </c>
      <c r="L71" s="3" t="str">
        <f ca="1">IFERROR(__xludf.DUMMYFUNCTION("GOOGLETRANSLATE(R71, ""auto"", ""ko"")"),"키치죠지 혼마치 잇쵸메")</f>
        <v>키치죠지 혼마치 잇쵸메</v>
      </c>
      <c r="M71" s="3">
        <v>13203</v>
      </c>
      <c r="N71" s="4" t="s">
        <v>249</v>
      </c>
      <c r="O71" s="4" t="s">
        <v>250</v>
      </c>
      <c r="P71" s="3" t="s">
        <v>180</v>
      </c>
      <c r="Q71" s="3" t="s">
        <v>181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2">
      <c r="A72" s="3">
        <v>154</v>
      </c>
      <c r="B72" s="3">
        <v>1</v>
      </c>
      <c r="C72" s="3" t="s">
        <v>175</v>
      </c>
      <c r="D72" s="3" t="s">
        <v>247</v>
      </c>
      <c r="E72" s="3" t="str">
        <f ca="1">IFERROR(__xludf.DUMMYFUNCTION("GOOGLETRANSLATE(J72, ""auto"", ""ko"")"),"산 마르크 카페 아사 가야 역 앞 점")</f>
        <v>산 마르크 카페 아사 가야 역 앞 점</v>
      </c>
      <c r="F72" s="3" t="s">
        <v>251</v>
      </c>
      <c r="G72" s="3" t="s">
        <v>252</v>
      </c>
      <c r="H72" s="3">
        <v>35.7042</v>
      </c>
      <c r="I72" s="3">
        <v>139.63674</v>
      </c>
      <c r="J72" s="3" t="str">
        <f ca="1">IFERROR(__xludf.DUMMYFUNCTION("GOOGLETRANSLATE(N72, ""auto"", ""ko"")"),"도쿄도 아사야 미나미 산쵸메")</f>
        <v>도쿄도 아사야 미나미 산쵸메</v>
      </c>
      <c r="K72" s="3" t="str">
        <f ca="1">IFERROR(__xludf.DUMMYFUNCTION("GOOGLETRANSLATE(P72, ""auto"", ""ko"")"),"도쿄도")</f>
        <v>도쿄도</v>
      </c>
      <c r="L72" s="3" t="str">
        <f ca="1">IFERROR(__xludf.DUMMYFUNCTION("GOOGLETRANSLATE(R72, ""auto"", ""ko"")"),"아사야 미나미 산쵸메")</f>
        <v>아사야 미나미 산쵸메</v>
      </c>
      <c r="M72" s="3">
        <v>13115</v>
      </c>
      <c r="N72" s="4" t="s">
        <v>253</v>
      </c>
      <c r="O72" s="4" t="s">
        <v>254</v>
      </c>
      <c r="P72" s="3" t="s">
        <v>180</v>
      </c>
      <c r="Q72" s="3" t="s">
        <v>181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2">
      <c r="A73" s="3">
        <v>155</v>
      </c>
      <c r="B73" s="3">
        <v>1</v>
      </c>
      <c r="C73" s="3" t="s">
        <v>175</v>
      </c>
      <c r="D73" s="3" t="s">
        <v>255</v>
      </c>
      <c r="E73" s="3" t="str">
        <f ca="1">IFERROR(__xludf.DUMMYFUNCTION("GOOGLETRANSLATE(J73, ""auto"", ""ko"")"),"다이코쿠 스시")</f>
        <v>다이코쿠 스시</v>
      </c>
      <c r="F73" s="3" t="s">
        <v>256</v>
      </c>
      <c r="G73" s="3"/>
      <c r="H73" s="3">
        <v>35.706150000000001</v>
      </c>
      <c r="I73" s="3">
        <v>139.63636</v>
      </c>
      <c r="J73" s="3" t="str">
        <f ca="1">IFERROR(__xludf.DUMMYFUNCTION("GOOGLETRANSLATE(N73, ""auto"", ""ko"")"),"도쿄도 아사야 키타니쵸메")</f>
        <v>도쿄도 아사야 키타니쵸메</v>
      </c>
      <c r="K73" s="3" t="str">
        <f ca="1">IFERROR(__xludf.DUMMYFUNCTION("GOOGLETRANSLATE(P73, ""auto"", ""ko"")"),"도쿄도")</f>
        <v>도쿄도</v>
      </c>
      <c r="L73" s="3" t="str">
        <f ca="1">IFERROR(__xludf.DUMMYFUNCTION("GOOGLETRANSLATE(R73, ""auto"", ""ko"")"),"아사야 키타니쵸메")</f>
        <v>아사야 키타니쵸메</v>
      </c>
      <c r="M73" s="3">
        <v>13115</v>
      </c>
      <c r="N73" s="4" t="s">
        <v>257</v>
      </c>
      <c r="O73" s="4" t="s">
        <v>258</v>
      </c>
      <c r="P73" s="3" t="s">
        <v>180</v>
      </c>
      <c r="Q73" s="3" t="s">
        <v>181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2">
      <c r="A74" s="3">
        <v>156</v>
      </c>
      <c r="B74" s="3">
        <v>1</v>
      </c>
      <c r="C74" s="3" t="s">
        <v>175</v>
      </c>
      <c r="D74" s="3" t="s">
        <v>259</v>
      </c>
      <c r="E74" s="3" t="str">
        <f ca="1">IFERROR(__xludf.DUMMYFUNCTION("GOOGLETRANSLATE(J74, ""auto"", ""ko"")"),"카페 벨로체 니시신주쿠점")</f>
        <v>카페 벨로체 니시신주쿠점</v>
      </c>
      <c r="F74" s="3" t="s">
        <v>260</v>
      </c>
      <c r="G74" s="3"/>
      <c r="H74" s="3">
        <v>35.693710000000003</v>
      </c>
      <c r="I74" s="3">
        <v>139.69773000000001</v>
      </c>
      <c r="J74" s="3" t="str">
        <f ca="1">IFERROR(__xludf.DUMMYFUNCTION("GOOGLETRANSLATE(N74, ""auto"", ""ko"")"),"도쿄도 니시신주쿠 나나초메")</f>
        <v>도쿄도 니시신주쿠 나나초메</v>
      </c>
      <c r="K74" s="3" t="str">
        <f ca="1">IFERROR(__xludf.DUMMYFUNCTION("GOOGLETRANSLATE(P74, ""auto"", ""ko"")"),"도쿄도")</f>
        <v>도쿄도</v>
      </c>
      <c r="L74" s="3" t="str">
        <f ca="1">IFERROR(__xludf.DUMMYFUNCTION("GOOGLETRANSLATE(R74, ""auto"", ""ko"")"),"니시신주쿠 나나초메")</f>
        <v>니시신주쿠 나나초메</v>
      </c>
      <c r="M74" s="3">
        <v>13104</v>
      </c>
      <c r="N74" s="4" t="s">
        <v>261</v>
      </c>
      <c r="O74" s="4" t="s">
        <v>262</v>
      </c>
      <c r="P74" s="3" t="s">
        <v>180</v>
      </c>
      <c r="Q74" s="3" t="s">
        <v>181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2">
      <c r="A75" s="3">
        <v>157</v>
      </c>
      <c r="B75" s="3">
        <v>1</v>
      </c>
      <c r="C75" s="3" t="s">
        <v>175</v>
      </c>
      <c r="D75" s="3" t="s">
        <v>263</v>
      </c>
      <c r="E75" s="3" t="str">
        <f ca="1">IFERROR(__xludf.DUMMYFUNCTION("GOOGLETRANSLATE(J75, ""auto"", ""ko"")"),"일본 공업 클럽")</f>
        <v>일본 공업 클럽</v>
      </c>
      <c r="F75" s="3" t="s">
        <v>264</v>
      </c>
      <c r="G75" s="3"/>
      <c r="H75" s="3">
        <v>35.683169999999997</v>
      </c>
      <c r="I75" s="3">
        <v>139.76506000000001</v>
      </c>
      <c r="J75" s="3" t="str">
        <f ca="1">IFERROR(__xludf.DUMMYFUNCTION("GOOGLETRANSLATE(N75, ""auto"", ""ko"")"),"도쿄도 마루노우치 잇쵸메")</f>
        <v>도쿄도 마루노우치 잇쵸메</v>
      </c>
      <c r="K75" s="3" t="str">
        <f ca="1">IFERROR(__xludf.DUMMYFUNCTION("GOOGLETRANSLATE(P75, ""auto"", ""ko"")"),"도쿄도")</f>
        <v>도쿄도</v>
      </c>
      <c r="L75" s="3" t="str">
        <f ca="1">IFERROR(__xludf.DUMMYFUNCTION("GOOGLETRANSLATE(R75, ""auto"", ""ko"")"),"마루노우치 잇쵸메")</f>
        <v>마루노우치 잇쵸메</v>
      </c>
      <c r="M75" s="3">
        <v>13101</v>
      </c>
      <c r="N75" s="4" t="s">
        <v>265</v>
      </c>
      <c r="O75" s="4" t="s">
        <v>266</v>
      </c>
      <c r="P75" s="3" t="s">
        <v>180</v>
      </c>
      <c r="Q75" s="3" t="s">
        <v>181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2">
      <c r="A76" s="3">
        <v>158</v>
      </c>
      <c r="B76" s="3">
        <v>1</v>
      </c>
      <c r="C76" s="3" t="s">
        <v>175</v>
      </c>
      <c r="D76" s="3" t="s">
        <v>267</v>
      </c>
      <c r="E76" s="3" t="str">
        <f ca="1">IFERROR(__xludf.DUMMYFUNCTION("GOOGLETRANSLATE(J76, ""auto"", ""ko"")"),"아사가야역")</f>
        <v>아사가야역</v>
      </c>
      <c r="F76" s="3" t="s">
        <v>268</v>
      </c>
      <c r="G76" s="3"/>
      <c r="H76" s="3">
        <v>35.704410000000003</v>
      </c>
      <c r="I76" s="3">
        <v>139.63637</v>
      </c>
      <c r="J76" s="3" t="str">
        <f ca="1">IFERROR(__xludf.DUMMYFUNCTION("GOOGLETRANSLATE(N76, ""auto"", ""ko"")"),"도쿄도 아사야 미나미 산쵸메")</f>
        <v>도쿄도 아사야 미나미 산쵸메</v>
      </c>
      <c r="K76" s="3" t="str">
        <f ca="1">IFERROR(__xludf.DUMMYFUNCTION("GOOGLETRANSLATE(P76, ""auto"", ""ko"")"),"도쿄도")</f>
        <v>도쿄도</v>
      </c>
      <c r="L76" s="3" t="str">
        <f ca="1">IFERROR(__xludf.DUMMYFUNCTION("GOOGLETRANSLATE(R76, ""auto"", ""ko"")"),"아사야 미나미 산쵸메")</f>
        <v>아사야 미나미 산쵸메</v>
      </c>
      <c r="M76" s="3">
        <v>13115</v>
      </c>
      <c r="N76" s="4" t="s">
        <v>269</v>
      </c>
      <c r="O76" s="4" t="s">
        <v>270</v>
      </c>
      <c r="P76" s="3" t="s">
        <v>180</v>
      </c>
      <c r="Q76" s="3" t="s">
        <v>181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2">
      <c r="A77" s="3">
        <v>159</v>
      </c>
      <c r="B77" s="3">
        <v>1</v>
      </c>
      <c r="C77" s="3" t="s">
        <v>175</v>
      </c>
      <c r="D77" s="3" t="s">
        <v>267</v>
      </c>
      <c r="E77" s="3" t="str">
        <f ca="1">IFERROR(__xludf.DUMMYFUNCTION("GOOGLETRANSLATE(J77, ""auto"", ""ko"")"),"아사야 펄 센터 상가")</f>
        <v>아사야 펄 센터 상가</v>
      </c>
      <c r="F77" s="3" t="s">
        <v>271</v>
      </c>
      <c r="G77" s="3" t="s">
        <v>272</v>
      </c>
      <c r="H77" s="3">
        <v>35.704619999999998</v>
      </c>
      <c r="I77" s="3">
        <v>139.63681</v>
      </c>
      <c r="J77" s="3" t="str">
        <f ca="1">IFERROR(__xludf.DUMMYFUNCTION("GOOGLETRANSLATE(N77, ""auto"", ""ko"")"),"도쿄도 아사야 미나미니쵸메")</f>
        <v>도쿄도 아사야 미나미니쵸메</v>
      </c>
      <c r="K77" s="3" t="str">
        <f ca="1">IFERROR(__xludf.DUMMYFUNCTION("GOOGLETRANSLATE(P77, ""auto"", ""ko"")"),"도쿄도")</f>
        <v>도쿄도</v>
      </c>
      <c r="L77" s="3" t="str">
        <f ca="1">IFERROR(__xludf.DUMMYFUNCTION("GOOGLETRANSLATE(R77, ""auto"", ""ko"")"),"아사야 미나미니쵸메")</f>
        <v>아사야 미나미니쵸메</v>
      </c>
      <c r="M77" s="3">
        <v>13115</v>
      </c>
      <c r="N77" s="4" t="s">
        <v>273</v>
      </c>
      <c r="O77" s="4" t="s">
        <v>274</v>
      </c>
      <c r="P77" s="3" t="s">
        <v>180</v>
      </c>
      <c r="Q77" s="3" t="s">
        <v>181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2">
      <c r="A78" s="3">
        <v>160</v>
      </c>
      <c r="B78" s="3">
        <v>1</v>
      </c>
      <c r="C78" s="3" t="s">
        <v>175</v>
      </c>
      <c r="D78" s="3" t="s">
        <v>275</v>
      </c>
      <c r="E78" s="3" t="str">
        <f ca="1">IFERROR(__xludf.DUMMYFUNCTION("GOOGLETRANSLATE(J78, ""auto"", ""ko"")"),"스타벅스 커피 게이오 신주쿠 산쵸메 빌딩점")</f>
        <v>스타벅스 커피 게이오 신주쿠 산쵸메 빌딩점</v>
      </c>
      <c r="F78" s="3" t="s">
        <v>276</v>
      </c>
      <c r="G78" s="3"/>
      <c r="H78" s="3">
        <v>35.690510000000003</v>
      </c>
      <c r="I78" s="3">
        <v>139.70555999999999</v>
      </c>
      <c r="J78" s="3" t="str">
        <f ca="1">IFERROR(__xludf.DUMMYFUNCTION("GOOGLETRANSLATE(N78, ""auto"", ""ko"")"),"도쿄도 신주쿠 산쵸메")</f>
        <v>도쿄도 신주쿠 산쵸메</v>
      </c>
      <c r="K78" s="3" t="str">
        <f ca="1">IFERROR(__xludf.DUMMYFUNCTION("GOOGLETRANSLATE(P78, ""auto"", ""ko"")"),"도쿄도")</f>
        <v>도쿄도</v>
      </c>
      <c r="L78" s="3" t="str">
        <f ca="1">IFERROR(__xludf.DUMMYFUNCTION("GOOGLETRANSLATE(R78, ""auto"", ""ko"")"),"신주쿠 산쵸메")</f>
        <v>신주쿠 산쵸메</v>
      </c>
      <c r="M78" s="3">
        <v>13104</v>
      </c>
      <c r="N78" s="4" t="s">
        <v>277</v>
      </c>
      <c r="O78" s="4" t="s">
        <v>278</v>
      </c>
      <c r="P78" s="3" t="s">
        <v>180</v>
      </c>
      <c r="Q78" s="3" t="s">
        <v>181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2">
      <c r="A79" s="3">
        <v>161</v>
      </c>
      <c r="B79" s="3">
        <v>1</v>
      </c>
      <c r="C79" s="3" t="s">
        <v>175</v>
      </c>
      <c r="D79" s="3" t="s">
        <v>279</v>
      </c>
      <c r="E79" s="3" t="str">
        <f ca="1">IFERROR(__xludf.DUMMYFUNCTION("GOOGLETRANSLATE(J79, ""auto"", ""ko"")"),"방콕 나이트 시부야")</f>
        <v>방콕 나이트 시부야</v>
      </c>
      <c r="F79" s="3" t="s">
        <v>280</v>
      </c>
      <c r="G79" s="3"/>
      <c r="H79" s="3">
        <v>35.662599999999998</v>
      </c>
      <c r="I79" s="3">
        <v>139.69711000000001</v>
      </c>
      <c r="J79" s="3" t="str">
        <f ca="1">IFERROR(__xludf.DUMMYFUNCTION("GOOGLETRANSLATE(N79, ""auto"", ""ko"")"),"도쿄도 우다가와초")</f>
        <v>도쿄도 우다가와초</v>
      </c>
      <c r="K79" s="3" t="str">
        <f ca="1">IFERROR(__xludf.DUMMYFUNCTION("GOOGLETRANSLATE(P79, ""auto"", ""ko"")"),"도쿄도")</f>
        <v>도쿄도</v>
      </c>
      <c r="L79" s="3" t="str">
        <f ca="1">IFERROR(__xludf.DUMMYFUNCTION("GOOGLETRANSLATE(R79, ""auto"", ""ko"")"),"우다가와초")</f>
        <v>우다가와초</v>
      </c>
      <c r="M79" s="3">
        <v>13113</v>
      </c>
      <c r="N79" s="4" t="s">
        <v>281</v>
      </c>
      <c r="O79" s="4" t="s">
        <v>282</v>
      </c>
      <c r="P79" s="3" t="s">
        <v>180</v>
      </c>
      <c r="Q79" s="3" t="s">
        <v>181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2">
      <c r="A80" s="3">
        <v>162</v>
      </c>
      <c r="B80" s="3">
        <v>1</v>
      </c>
      <c r="C80" s="3" t="s">
        <v>175</v>
      </c>
      <c r="D80" s="3" t="s">
        <v>279</v>
      </c>
      <c r="E80" s="3" t="str">
        <f ca="1">IFERROR(__xludf.DUMMYFUNCTION("GOOGLETRANSLATE(J80, ""auto"", ""ko"")"),"CONA 시부야 우다가와초점")</f>
        <v>CONA 시부야 우다가와초점</v>
      </c>
      <c r="F80" s="3" t="s">
        <v>283</v>
      </c>
      <c r="G80" s="3"/>
      <c r="H80" s="3">
        <v>35.662500000000001</v>
      </c>
      <c r="I80" s="3">
        <v>139.69705999999999</v>
      </c>
      <c r="J80" s="3" t="str">
        <f ca="1">IFERROR(__xludf.DUMMYFUNCTION("GOOGLETRANSLATE(N80, ""auto"", ""ko"")"),"도쿄도 우다가와초")</f>
        <v>도쿄도 우다가와초</v>
      </c>
      <c r="K80" s="3" t="str">
        <f ca="1">IFERROR(__xludf.DUMMYFUNCTION("GOOGLETRANSLATE(P80, ""auto"", ""ko"")"),"도쿄도")</f>
        <v>도쿄도</v>
      </c>
      <c r="L80" s="3" t="str">
        <f ca="1">IFERROR(__xludf.DUMMYFUNCTION("GOOGLETRANSLATE(R80, ""auto"", ""ko"")"),"우다가와초")</f>
        <v>우다가와초</v>
      </c>
      <c r="M80" s="3">
        <v>13113</v>
      </c>
      <c r="N80" s="4" t="s">
        <v>284</v>
      </c>
      <c r="O80" s="4" t="s">
        <v>285</v>
      </c>
      <c r="P80" s="3" t="s">
        <v>180</v>
      </c>
      <c r="Q80" s="3" t="s">
        <v>181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2">
      <c r="A81" s="3">
        <v>163</v>
      </c>
      <c r="B81" s="3">
        <v>1</v>
      </c>
      <c r="C81" s="3" t="s">
        <v>175</v>
      </c>
      <c r="D81" s="3" t="s">
        <v>279</v>
      </c>
      <c r="E81" s="3" t="str">
        <f ca="1">IFERROR(__xludf.DUMMYFUNCTION("GOOGLETRANSLATE(J81, ""auto"", ""ko"")"),"생구이 호르몬 전가 별저")</f>
        <v>생구이 호르몬 전가 별저</v>
      </c>
      <c r="F81" s="3" t="s">
        <v>286</v>
      </c>
      <c r="G81" s="3" t="s">
        <v>287</v>
      </c>
      <c r="H81" s="3">
        <v>35.662489999999998</v>
      </c>
      <c r="I81" s="3">
        <v>139.69744</v>
      </c>
      <c r="J81" s="3" t="str">
        <f ca="1">IFERROR(__xludf.DUMMYFUNCTION("GOOGLETRANSLATE(N81, ""auto"", ""ko"")"),"도쿄도 우다가와초")</f>
        <v>도쿄도 우다가와초</v>
      </c>
      <c r="K81" s="3" t="str">
        <f ca="1">IFERROR(__xludf.DUMMYFUNCTION("GOOGLETRANSLATE(P81, ""auto"", ""ko"")"),"도쿄도")</f>
        <v>도쿄도</v>
      </c>
      <c r="L81" s="3" t="str">
        <f ca="1">IFERROR(__xludf.DUMMYFUNCTION("GOOGLETRANSLATE(R81, ""auto"", ""ko"")"),"우다가와초")</f>
        <v>우다가와초</v>
      </c>
      <c r="M81" s="3">
        <v>13113</v>
      </c>
      <c r="N81" s="4" t="s">
        <v>288</v>
      </c>
      <c r="O81" s="4" t="s">
        <v>289</v>
      </c>
      <c r="P81" s="3" t="s">
        <v>180</v>
      </c>
      <c r="Q81" s="3" t="s">
        <v>181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2">
      <c r="A82" s="3">
        <v>164</v>
      </c>
      <c r="B82" s="3">
        <v>1</v>
      </c>
      <c r="C82" s="3" t="s">
        <v>175</v>
      </c>
      <c r="D82" s="3" t="s">
        <v>279</v>
      </c>
      <c r="E82" s="3" t="str">
        <f ca="1">IFERROR(__xludf.DUMMYFUNCTION("GOOGLETRANSLATE(J82, ""auto"", ""ko"")"),"나카시부야 가드 주륜장")</f>
        <v>나카시부야 가드 주륜장</v>
      </c>
      <c r="F82" s="3" t="s">
        <v>290</v>
      </c>
      <c r="G82" s="3"/>
      <c r="H82" s="3">
        <v>35.660350700000002</v>
      </c>
      <c r="I82" s="3">
        <v>139.7014408</v>
      </c>
      <c r="J82" s="3" t="str">
        <f ca="1">IFERROR(__xludf.DUMMYFUNCTION("GOOGLETRANSLATE(N82, ""auto"", ""ko"")"),"도쿄도 시부야 잇쵸메")</f>
        <v>도쿄도 시부야 잇쵸메</v>
      </c>
      <c r="K82" s="3" t="str">
        <f ca="1">IFERROR(__xludf.DUMMYFUNCTION("GOOGLETRANSLATE(P82, ""auto"", ""ko"")"),"도쿄도")</f>
        <v>도쿄도</v>
      </c>
      <c r="L82" s="3" t="str">
        <f ca="1">IFERROR(__xludf.DUMMYFUNCTION("GOOGLETRANSLATE(R82, ""auto"", ""ko"")"),"시부야 잇쵸메")</f>
        <v>시부야 잇쵸메</v>
      </c>
      <c r="M82" s="3">
        <v>13113</v>
      </c>
      <c r="N82" s="4" t="s">
        <v>291</v>
      </c>
      <c r="O82" s="4" t="s">
        <v>292</v>
      </c>
      <c r="P82" s="3" t="s">
        <v>180</v>
      </c>
      <c r="Q82" s="3" t="s">
        <v>181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2">
      <c r="A83" s="3">
        <v>165</v>
      </c>
      <c r="B83" s="3">
        <v>1</v>
      </c>
      <c r="C83" s="3" t="s">
        <v>175</v>
      </c>
      <c r="D83" s="3" t="s">
        <v>279</v>
      </c>
      <c r="E83" s="3" t="str">
        <f ca="1">IFERROR(__xludf.DUMMYFUNCTION("GOOGLETRANSLATE(J83, ""auto"", ""ko"")"),"시부야 PARCO")</f>
        <v>시부야 PARCO</v>
      </c>
      <c r="F83" s="3" t="s">
        <v>293</v>
      </c>
      <c r="G83" s="3"/>
      <c r="H83" s="3">
        <v>35.661914500000002</v>
      </c>
      <c r="I83" s="3">
        <v>139.6992841</v>
      </c>
      <c r="J83" s="3" t="str">
        <f ca="1">IFERROR(__xludf.DUMMYFUNCTION("GOOGLETRANSLATE(N83, ""auto"", ""ko"")"),"도쿄도 우다가와초")</f>
        <v>도쿄도 우다가와초</v>
      </c>
      <c r="K83" s="3" t="str">
        <f ca="1">IFERROR(__xludf.DUMMYFUNCTION("GOOGLETRANSLATE(P83, ""auto"", ""ko"")"),"도쿄도")</f>
        <v>도쿄도</v>
      </c>
      <c r="L83" s="3" t="str">
        <f ca="1">IFERROR(__xludf.DUMMYFUNCTION("GOOGLETRANSLATE(R83, ""auto"", ""ko"")"),"우다가와초")</f>
        <v>우다가와초</v>
      </c>
      <c r="M83" s="3">
        <v>13113</v>
      </c>
      <c r="N83" s="4" t="s">
        <v>294</v>
      </c>
      <c r="O83" s="4" t="s">
        <v>295</v>
      </c>
      <c r="P83" s="3" t="s">
        <v>180</v>
      </c>
      <c r="Q83" s="3" t="s">
        <v>181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2">
      <c r="A84" s="3">
        <v>166</v>
      </c>
      <c r="B84" s="3">
        <v>1</v>
      </c>
      <c r="C84" s="3" t="s">
        <v>175</v>
      </c>
      <c r="D84" s="3" t="s">
        <v>279</v>
      </c>
      <c r="E84" s="3" t="str">
        <f ca="1">IFERROR(__xludf.DUMMYFUNCTION("GOOGLETRANSLATE(J84, ""auto"", ""ko"")"),"가로 정원의 ""나비 효과""")</f>
        <v>가로 정원의 "나비 효과"</v>
      </c>
      <c r="F84" s="3" t="s">
        <v>296</v>
      </c>
      <c r="G84" s="3"/>
      <c r="H84" s="3">
        <v>35.662445099999999</v>
      </c>
      <c r="I84" s="3">
        <v>139.69928920000001</v>
      </c>
      <c r="J84" s="3" t="str">
        <f ca="1">IFERROR(__xludf.DUMMYFUNCTION("GOOGLETRANSLATE(N84, ""auto"", ""ko"")"),"도쿄도 신난 잇쵸메")</f>
        <v>도쿄도 신난 잇쵸메</v>
      </c>
      <c r="K84" s="3" t="str">
        <f ca="1">IFERROR(__xludf.DUMMYFUNCTION("GOOGLETRANSLATE(P84, ""auto"", ""ko"")"),"도쿄도")</f>
        <v>도쿄도</v>
      </c>
      <c r="L84" s="3" t="str">
        <f ca="1">IFERROR(__xludf.DUMMYFUNCTION("GOOGLETRANSLATE(R84, ""auto"", ""ko"")"),"신난 잇쵸메")</f>
        <v>신난 잇쵸메</v>
      </c>
      <c r="M84" s="3">
        <v>13113</v>
      </c>
      <c r="N84" s="5" t="s">
        <v>297</v>
      </c>
      <c r="O84" s="4" t="s">
        <v>298</v>
      </c>
      <c r="P84" s="3" t="s">
        <v>180</v>
      </c>
      <c r="Q84" s="3" t="s">
        <v>181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2">
      <c r="A85" s="3">
        <v>167</v>
      </c>
      <c r="B85" s="3">
        <v>1</v>
      </c>
      <c r="C85" s="3" t="s">
        <v>175</v>
      </c>
      <c r="D85" s="3" t="s">
        <v>279</v>
      </c>
      <c r="E85" s="3" t="str">
        <f ca="1">IFERROR(__xludf.DUMMYFUNCTION("GOOGLETRANSLATE(J85, ""auto"", ""ko"")"),"LUKE'S LOBSTER 시부야 ParkStreet점")</f>
        <v>LUKE'S LOBSTER 시부야 ParkStreet점</v>
      </c>
      <c r="F85" s="3" t="s">
        <v>299</v>
      </c>
      <c r="G85" s="3"/>
      <c r="H85" s="3">
        <v>35.663449999999997</v>
      </c>
      <c r="I85" s="3">
        <v>139.6995</v>
      </c>
      <c r="J85" s="3" t="str">
        <f ca="1">IFERROR(__xludf.DUMMYFUNCTION("GOOGLETRANSLATE(N85, ""auto"", ""ko"")"),"도쿄도 신난 잇쵸메")</f>
        <v>도쿄도 신난 잇쵸메</v>
      </c>
      <c r="K85" s="3" t="str">
        <f ca="1">IFERROR(__xludf.DUMMYFUNCTION("GOOGLETRANSLATE(P85, ""auto"", ""ko"")"),"도쿄도")</f>
        <v>도쿄도</v>
      </c>
      <c r="L85" s="3" t="str">
        <f ca="1">IFERROR(__xludf.DUMMYFUNCTION("GOOGLETRANSLATE(R85, ""auto"", ""ko"")"),"신난 잇쵸메")</f>
        <v>신난 잇쵸메</v>
      </c>
      <c r="M85" s="3">
        <v>13113</v>
      </c>
      <c r="N85" s="4" t="s">
        <v>300</v>
      </c>
      <c r="O85" s="4" t="s">
        <v>301</v>
      </c>
      <c r="P85" s="3" t="s">
        <v>180</v>
      </c>
      <c r="Q85" s="3" t="s">
        <v>181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2">
      <c r="A86" s="3">
        <v>168</v>
      </c>
      <c r="B86" s="3">
        <v>1</v>
      </c>
      <c r="C86" s="3" t="s">
        <v>175</v>
      </c>
      <c r="D86" s="3" t="s">
        <v>279</v>
      </c>
      <c r="E86" s="3" t="str">
        <f ca="1">IFERROR(__xludf.DUMMYFUNCTION("GOOGLETRANSLATE(J86, ""auto"", ""ko"")"),"핸즈 시부야점")</f>
        <v>핸즈 시부야점</v>
      </c>
      <c r="F86" s="3" t="s">
        <v>302</v>
      </c>
      <c r="G86" s="3"/>
      <c r="H86" s="3">
        <v>35.662190000000002</v>
      </c>
      <c r="I86" s="3">
        <v>139.69747000000001</v>
      </c>
      <c r="J86" s="3" t="str">
        <f ca="1">IFERROR(__xludf.DUMMYFUNCTION("GOOGLETRANSLATE(N86, ""auto"", ""ko"")"),"도쿄도 우다가와초")</f>
        <v>도쿄도 우다가와초</v>
      </c>
      <c r="K86" s="3" t="str">
        <f ca="1">IFERROR(__xludf.DUMMYFUNCTION("GOOGLETRANSLATE(P86, ""auto"", ""ko"")"),"도쿄도")</f>
        <v>도쿄도</v>
      </c>
      <c r="L86" s="3" t="str">
        <f ca="1">IFERROR(__xludf.DUMMYFUNCTION("GOOGLETRANSLATE(R86, ""auto"", ""ko"")"),"우다가와초")</f>
        <v>우다가와초</v>
      </c>
      <c r="M86" s="3">
        <v>13113</v>
      </c>
      <c r="N86" s="4" t="s">
        <v>303</v>
      </c>
      <c r="O86" s="4" t="s">
        <v>304</v>
      </c>
      <c r="P86" s="3" t="s">
        <v>180</v>
      </c>
      <c r="Q86" s="3" t="s">
        <v>181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2">
      <c r="A87" s="3">
        <v>169</v>
      </c>
      <c r="B87" s="3">
        <v>1</v>
      </c>
      <c r="C87" s="3" t="s">
        <v>175</v>
      </c>
      <c r="D87" s="3" t="s">
        <v>279</v>
      </c>
      <c r="E87" s="3" t="str">
        <f ca="1">IFERROR(__xludf.DUMMYFUNCTION("GOOGLETRANSLATE(J87, ""auto"", ""ko"")"),"시부야 역 서쪽 출구 보도 다리")</f>
        <v>시부야 역 서쪽 출구 보도 다리</v>
      </c>
      <c r="F87" s="3" t="s">
        <v>305</v>
      </c>
      <c r="G87" s="3"/>
      <c r="H87" s="3">
        <v>35.657499999999999</v>
      </c>
      <c r="I87" s="3">
        <v>139.70187000000001</v>
      </c>
      <c r="J87" s="3" t="str">
        <f ca="1">IFERROR(__xludf.DUMMYFUNCTION("GOOGLETRANSLATE(N87, ""auto"", ""ko"")"),"도쿄도 시부야 산쵸메")</f>
        <v>도쿄도 시부야 산쵸메</v>
      </c>
      <c r="K87" s="3" t="str">
        <f ca="1">IFERROR(__xludf.DUMMYFUNCTION("GOOGLETRANSLATE(P87, ""auto"", ""ko"")"),"도쿄도")</f>
        <v>도쿄도</v>
      </c>
      <c r="L87" s="3" t="str">
        <f ca="1">IFERROR(__xludf.DUMMYFUNCTION("GOOGLETRANSLATE(R87, ""auto"", ""ko"")"),"시부야 산쵸메")</f>
        <v>시부야 산쵸메</v>
      </c>
      <c r="M87" s="3">
        <v>13113</v>
      </c>
      <c r="N87" s="4" t="s">
        <v>306</v>
      </c>
      <c r="O87" s="4" t="s">
        <v>307</v>
      </c>
      <c r="P87" s="3" t="s">
        <v>180</v>
      </c>
      <c r="Q87" s="3" t="s">
        <v>181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2">
      <c r="A88" s="3">
        <v>170</v>
      </c>
      <c r="B88" s="3">
        <v>1</v>
      </c>
      <c r="C88" s="3" t="s">
        <v>175</v>
      </c>
      <c r="D88" s="3" t="s">
        <v>234</v>
      </c>
      <c r="E88" s="3" t="str">
        <f ca="1">IFERROR(__xludf.DUMMYFUNCTION("GOOGLETRANSLATE(J88, ""auto"", ""ko"")"),"미쓰이 스미토모 신탁 은행 다치카와 지점")</f>
        <v>미쓰이 스미토모 신탁 은행 다치카와 지점</v>
      </c>
      <c r="F88" s="3" t="s">
        <v>308</v>
      </c>
      <c r="G88" s="3"/>
      <c r="H88" s="3">
        <v>35.69905</v>
      </c>
      <c r="I88" s="3">
        <v>139.41356999999999</v>
      </c>
      <c r="J88" s="3" t="str">
        <f ca="1">IFERROR(__xludf.DUMMYFUNCTION("GOOGLETRANSLATE(N88, ""auto"", ""ko"")"),"도쿄도 아케마치 니쵸메")</f>
        <v>도쿄도 아케마치 니쵸메</v>
      </c>
      <c r="K88" s="3" t="str">
        <f ca="1">IFERROR(__xludf.DUMMYFUNCTION("GOOGLETRANSLATE(P88, ""auto"", ""ko"")"),"도쿄도")</f>
        <v>도쿄도</v>
      </c>
      <c r="L88" s="3" t="str">
        <f ca="1">IFERROR(__xludf.DUMMYFUNCTION("GOOGLETRANSLATE(R88, ""auto"", ""ko"")"),"아케마치 니쵸메")</f>
        <v>아케마치 니쵸메</v>
      </c>
      <c r="M88" s="3">
        <v>13202</v>
      </c>
      <c r="N88" s="4" t="s">
        <v>309</v>
      </c>
      <c r="O88" s="4" t="s">
        <v>310</v>
      </c>
      <c r="P88" s="3" t="s">
        <v>180</v>
      </c>
      <c r="Q88" s="3" t="s">
        <v>181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2">
      <c r="A89" s="3">
        <v>171</v>
      </c>
      <c r="B89" s="3">
        <v>1</v>
      </c>
      <c r="C89" s="3" t="s">
        <v>175</v>
      </c>
      <c r="D89" s="3" t="s">
        <v>234</v>
      </c>
      <c r="E89" s="3" t="str">
        <f ca="1">IFERROR(__xludf.DUMMYFUNCTION("GOOGLETRANSLATE(J89, ""auto"", ""ko"")"),"웬디스 퍼스트 키친 다치카와 프롬 나카부점")</f>
        <v>웬디스 퍼스트 키친 다치카와 프롬 나카부점</v>
      </c>
      <c r="F89" s="3" t="s">
        <v>311</v>
      </c>
      <c r="G89" s="3"/>
      <c r="H89" s="3">
        <v>35.699779999999997</v>
      </c>
      <c r="I89" s="3">
        <v>139.41455999999999</v>
      </c>
      <c r="J89" s="3" t="str">
        <f ca="1">IFERROR(__xludf.DUMMYFUNCTION("GOOGLETRANSLATE(N89, ""auto"", ""ko"")"),"도쿄도 아케마치 니쵸메")</f>
        <v>도쿄도 아케마치 니쵸메</v>
      </c>
      <c r="K89" s="3" t="str">
        <f ca="1">IFERROR(__xludf.DUMMYFUNCTION("GOOGLETRANSLATE(P89, ""auto"", ""ko"")"),"도쿄도")</f>
        <v>도쿄도</v>
      </c>
      <c r="L89" s="3" t="str">
        <f ca="1">IFERROR(__xludf.DUMMYFUNCTION("GOOGLETRANSLATE(R89, ""auto"", ""ko"")"),"아케마치 니쵸메")</f>
        <v>아케마치 니쵸메</v>
      </c>
      <c r="M89" s="3">
        <v>13202</v>
      </c>
      <c r="N89" s="4" t="s">
        <v>312</v>
      </c>
      <c r="O89" s="4" t="s">
        <v>313</v>
      </c>
      <c r="P89" s="3" t="s">
        <v>180</v>
      </c>
      <c r="Q89" s="3" t="s">
        <v>181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2">
      <c r="A90" s="3">
        <v>172</v>
      </c>
      <c r="B90" s="3">
        <v>1</v>
      </c>
      <c r="C90" s="3" t="s">
        <v>175</v>
      </c>
      <c r="D90" s="3" t="s">
        <v>234</v>
      </c>
      <c r="E90" s="3" t="str">
        <f ca="1">IFERROR(__xludf.DUMMYFUNCTION("GOOGLETRANSLATE(J90, ""auto"", ""ko"")"),"다치카와 역")</f>
        <v>다치카와 역</v>
      </c>
      <c r="F90" s="3" t="s">
        <v>314</v>
      </c>
      <c r="G90" s="3"/>
      <c r="H90" s="3">
        <v>35.698569999999997</v>
      </c>
      <c r="I90" s="3">
        <v>139.41390000000001</v>
      </c>
      <c r="J90" s="3" t="str">
        <f ca="1">IFERROR(__xludf.DUMMYFUNCTION("GOOGLETRANSLATE(N90, ""auto"", ""ko"")"),"도쿄도 아케마치 니쵸메")</f>
        <v>도쿄도 아케마치 니쵸메</v>
      </c>
      <c r="K90" s="3" t="str">
        <f ca="1">IFERROR(__xludf.DUMMYFUNCTION("GOOGLETRANSLATE(P90, ""auto"", ""ko"")"),"도쿄도")</f>
        <v>도쿄도</v>
      </c>
      <c r="L90" s="3" t="str">
        <f ca="1">IFERROR(__xludf.DUMMYFUNCTION("GOOGLETRANSLATE(R90, ""auto"", ""ko"")"),"아케마치 니쵸메")</f>
        <v>아케마치 니쵸메</v>
      </c>
      <c r="M90" s="3">
        <v>13202</v>
      </c>
      <c r="N90" s="4" t="s">
        <v>315</v>
      </c>
      <c r="O90" s="4" t="s">
        <v>316</v>
      </c>
      <c r="P90" s="3" t="s">
        <v>180</v>
      </c>
      <c r="Q90" s="3" t="s">
        <v>181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2">
      <c r="A91" s="3">
        <v>173</v>
      </c>
      <c r="B91" s="3">
        <v>1</v>
      </c>
      <c r="C91" s="3" t="s">
        <v>175</v>
      </c>
      <c r="D91" s="3" t="s">
        <v>234</v>
      </c>
      <c r="E91" s="3" t="str">
        <f ca="1">IFERROR(__xludf.DUMMYFUNCTION("GOOGLETRANSLATE(J91, ""auto"", ""ko"")"),"인도 정식 탈리 가게 다치카와 기타구치점")</f>
        <v>인도 정식 탈리 가게 다치카와 기타구치점</v>
      </c>
      <c r="F91" s="3" t="s">
        <v>317</v>
      </c>
      <c r="G91" s="3" t="s">
        <v>318</v>
      </c>
      <c r="H91" s="3">
        <v>35.699649999999998</v>
      </c>
      <c r="I91" s="3">
        <v>139.41418999999999</v>
      </c>
      <c r="J91" s="3" t="str">
        <f ca="1">IFERROR(__xludf.DUMMYFUNCTION("GOOGLETRANSLATE(N91, ""auto"", ""ko"")"),"도쿄도 아케마치 니쵸메")</f>
        <v>도쿄도 아케마치 니쵸메</v>
      </c>
      <c r="K91" s="3" t="str">
        <f ca="1">IFERROR(__xludf.DUMMYFUNCTION("GOOGLETRANSLATE(P91, ""auto"", ""ko"")"),"도쿄도")</f>
        <v>도쿄도</v>
      </c>
      <c r="L91" s="3" t="str">
        <f ca="1">IFERROR(__xludf.DUMMYFUNCTION("GOOGLETRANSLATE(R91, ""auto"", ""ko"")"),"아케마치 니쵸메")</f>
        <v>아케마치 니쵸메</v>
      </c>
      <c r="M91" s="3">
        <v>13202</v>
      </c>
      <c r="N91" s="4" t="s">
        <v>319</v>
      </c>
      <c r="O91" s="4" t="s">
        <v>320</v>
      </c>
      <c r="P91" s="3" t="s">
        <v>180</v>
      </c>
      <c r="Q91" s="3" t="s">
        <v>181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2">
      <c r="A92" s="3">
        <v>174</v>
      </c>
      <c r="B92" s="3">
        <v>1</v>
      </c>
      <c r="C92" s="3" t="s">
        <v>175</v>
      </c>
      <c r="D92" s="3" t="s">
        <v>321</v>
      </c>
      <c r="E92" s="3" t="str">
        <f ca="1">IFERROR(__xludf.DUMMYFUNCTION("GOOGLETRANSLATE(J92, ""auto"", ""ko"")"),"미야시타 제1 보도교")</f>
        <v>미야시타 제1 보도교</v>
      </c>
      <c r="F92" s="3" t="s">
        <v>322</v>
      </c>
      <c r="G92" s="3"/>
      <c r="H92" s="3">
        <v>35.661450000000002</v>
      </c>
      <c r="I92" s="3">
        <v>139.70224999999999</v>
      </c>
      <c r="J92" s="3" t="str">
        <f ca="1">IFERROR(__xludf.DUMMYFUNCTION("GOOGLETRANSLATE(N92, ""auto"", ""ko"")"),"도쿄도 시부야 잇쵸메")</f>
        <v>도쿄도 시부야 잇쵸메</v>
      </c>
      <c r="K92" s="3" t="str">
        <f ca="1">IFERROR(__xludf.DUMMYFUNCTION("GOOGLETRANSLATE(P92, ""auto"", ""ko"")"),"도쿄도")</f>
        <v>도쿄도</v>
      </c>
      <c r="L92" s="3" t="str">
        <f ca="1">IFERROR(__xludf.DUMMYFUNCTION("GOOGLETRANSLATE(R92, ""auto"", ""ko"")"),"시부야 잇쵸메")</f>
        <v>시부야 잇쵸메</v>
      </c>
      <c r="M92" s="3">
        <v>13113</v>
      </c>
      <c r="N92" s="4" t="s">
        <v>323</v>
      </c>
      <c r="O92" s="4" t="s">
        <v>324</v>
      </c>
      <c r="P92" s="3" t="s">
        <v>180</v>
      </c>
      <c r="Q92" s="3" t="s">
        <v>181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2">
      <c r="A93" s="3">
        <v>175</v>
      </c>
      <c r="B93" s="3">
        <v>1</v>
      </c>
      <c r="C93" s="3" t="s">
        <v>175</v>
      </c>
      <c r="D93" s="3" t="s">
        <v>321</v>
      </c>
      <c r="E93" s="3" t="str">
        <f ca="1">IFERROR(__xludf.DUMMYFUNCTION("GOOGLETRANSLATE(J93, ""auto"", ""ko"")"),"LOUVERS OF MIRROR 비토 아콘치")</f>
        <v>LOUVERS OF MIRROR 비토 아콘치</v>
      </c>
      <c r="F93" s="3" t="s">
        <v>325</v>
      </c>
      <c r="G93" s="3"/>
      <c r="H93" s="3">
        <v>35.657591400000001</v>
      </c>
      <c r="I93" s="3">
        <v>139.69672499999999</v>
      </c>
      <c r="J93" s="3" t="str">
        <f ca="1">IFERROR(__xludf.DUMMYFUNCTION("GOOGLETRANSLATE(N93, ""auto"", ""ko"")"),"도쿄도 도겐자카 잇쵸메")</f>
        <v>도쿄도 도겐자카 잇쵸메</v>
      </c>
      <c r="K93" s="3" t="str">
        <f ca="1">IFERROR(__xludf.DUMMYFUNCTION("GOOGLETRANSLATE(P93, ""auto"", ""ko"")"),"도쿄도")</f>
        <v>도쿄도</v>
      </c>
      <c r="L93" s="3" t="str">
        <f ca="1">IFERROR(__xludf.DUMMYFUNCTION("GOOGLETRANSLATE(R93, ""auto"", ""ko"")"),"도겐자카 잇쵸메")</f>
        <v>도겐자카 잇쵸메</v>
      </c>
      <c r="M93" s="3">
        <v>13113</v>
      </c>
      <c r="N93" s="4" t="s">
        <v>326</v>
      </c>
      <c r="O93" s="4" t="s">
        <v>327</v>
      </c>
      <c r="P93" s="3" t="s">
        <v>180</v>
      </c>
      <c r="Q93" s="3" t="s">
        <v>181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2">
      <c r="A94" s="3">
        <v>176</v>
      </c>
      <c r="B94" s="3">
        <v>1</v>
      </c>
      <c r="C94" s="3" t="s">
        <v>175</v>
      </c>
      <c r="D94" s="3" t="s">
        <v>321</v>
      </c>
      <c r="E94" s="3" t="str">
        <f ca="1">IFERROR(__xludf.DUMMYFUNCTION("GOOGLETRANSLATE(J94, ""auto"", ""ko"")"),"카페・벨로체 시부야역 신난구치점")</f>
        <v>카페・벨로체 시부야역 신난구치점</v>
      </c>
      <c r="F94" s="3" t="s">
        <v>328</v>
      </c>
      <c r="G94" s="3"/>
      <c r="H94" s="3">
        <v>35.65578</v>
      </c>
      <c r="I94" s="3">
        <v>139.70423</v>
      </c>
      <c r="J94" s="3" t="str">
        <f ca="1">IFERROR(__xludf.DUMMYFUNCTION("GOOGLETRANSLATE(N94, ""auto"", ""ko"")"),"도쿄도 시부야 산쵸메")</f>
        <v>도쿄도 시부야 산쵸메</v>
      </c>
      <c r="K94" s="3" t="str">
        <f ca="1">IFERROR(__xludf.DUMMYFUNCTION("GOOGLETRANSLATE(P94, ""auto"", ""ko"")"),"도쿄도")</f>
        <v>도쿄도</v>
      </c>
      <c r="L94" s="3" t="str">
        <f ca="1">IFERROR(__xludf.DUMMYFUNCTION("GOOGLETRANSLATE(R94, ""auto"", ""ko"")"),"시부야 산쵸메")</f>
        <v>시부야 산쵸메</v>
      </c>
      <c r="M94" s="3">
        <v>13113</v>
      </c>
      <c r="N94" s="4" t="s">
        <v>329</v>
      </c>
      <c r="O94" s="4" t="s">
        <v>330</v>
      </c>
      <c r="P94" s="3" t="s">
        <v>180</v>
      </c>
      <c r="Q94" s="3" t="s">
        <v>181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2">
      <c r="A95" s="3">
        <v>177</v>
      </c>
      <c r="B95" s="3">
        <v>1</v>
      </c>
      <c r="C95" s="3" t="s">
        <v>175</v>
      </c>
      <c r="D95" s="3" t="s">
        <v>239</v>
      </c>
      <c r="E95" s="3" t="str">
        <f ca="1">IFERROR(__xludf.DUMMYFUNCTION("GOOGLETRANSLATE(J95, ""auto"", ""ko"")"),"B3F 시부야 히카리에")</f>
        <v>B3F 시부야 히카리에</v>
      </c>
      <c r="F95" s="3" t="s">
        <v>331</v>
      </c>
      <c r="G95" s="3"/>
      <c r="H95" s="3">
        <v>35.65898</v>
      </c>
      <c r="I95" s="3">
        <v>139.70302000000001</v>
      </c>
      <c r="J95" s="3" t="str">
        <f ca="1">IFERROR(__xludf.DUMMYFUNCTION("GOOGLETRANSLATE(N95, ""auto"", ""ko"")"),"도쿄도 시부야 니쵸메")</f>
        <v>도쿄도 시부야 니쵸메</v>
      </c>
      <c r="K95" s="3" t="str">
        <f ca="1">IFERROR(__xludf.DUMMYFUNCTION("GOOGLETRANSLATE(P95, ""auto"", ""ko"")"),"도쿄도")</f>
        <v>도쿄도</v>
      </c>
      <c r="L95" s="3" t="str">
        <f ca="1">IFERROR(__xludf.DUMMYFUNCTION("GOOGLETRANSLATE(R95, ""auto"", ""ko"")"),"시부야 니쵸메")</f>
        <v>시부야 니쵸메</v>
      </c>
      <c r="M95" s="3">
        <v>13113</v>
      </c>
      <c r="N95" s="4" t="s">
        <v>332</v>
      </c>
      <c r="O95" s="4" t="s">
        <v>333</v>
      </c>
      <c r="P95" s="3" t="s">
        <v>180</v>
      </c>
      <c r="Q95" s="3" t="s">
        <v>181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2">
      <c r="A96" s="3">
        <v>178</v>
      </c>
      <c r="B96" s="3">
        <v>1</v>
      </c>
      <c r="C96" s="3" t="s">
        <v>175</v>
      </c>
      <c r="D96" s="3" t="s">
        <v>239</v>
      </c>
      <c r="E96" s="3" t="str">
        <f ca="1">IFERROR(__xludf.DUMMYFUNCTION("GOOGLETRANSLATE(J96, ""auto"", ""ko"")"),"하라주쿠역")</f>
        <v>하라주쿠역</v>
      </c>
      <c r="F96" s="3" t="s">
        <v>205</v>
      </c>
      <c r="G96" s="3"/>
      <c r="H96" s="3">
        <v>35.67004</v>
      </c>
      <c r="I96" s="3">
        <v>139.70268999999999</v>
      </c>
      <c r="J96" s="3" t="str">
        <f ca="1">IFERROR(__xludf.DUMMYFUNCTION("GOOGLETRANSLATE(N96, ""auto"", ""ko"")"),"도쿄도 진구마에 잇쵸메")</f>
        <v>도쿄도 진구마에 잇쵸메</v>
      </c>
      <c r="K96" s="3" t="str">
        <f ca="1">IFERROR(__xludf.DUMMYFUNCTION("GOOGLETRANSLATE(P96, ""auto"", ""ko"")"),"도쿄도")</f>
        <v>도쿄도</v>
      </c>
      <c r="L96" s="3" t="str">
        <f ca="1">IFERROR(__xludf.DUMMYFUNCTION("GOOGLETRANSLATE(R96, ""auto"", ""ko"")"),"진구마에 잇쵸메")</f>
        <v>진구마에 잇쵸메</v>
      </c>
      <c r="M96" s="3">
        <v>13113</v>
      </c>
      <c r="N96" s="4" t="s">
        <v>334</v>
      </c>
      <c r="O96" s="4" t="s">
        <v>335</v>
      </c>
      <c r="P96" s="3" t="s">
        <v>180</v>
      </c>
      <c r="Q96" s="3" t="s">
        <v>181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2">
      <c r="A97" s="3">
        <v>179</v>
      </c>
      <c r="B97" s="3">
        <v>1</v>
      </c>
      <c r="C97" s="3" t="s">
        <v>175</v>
      </c>
      <c r="D97" s="3" t="s">
        <v>239</v>
      </c>
      <c r="E97" s="3" t="str">
        <f ca="1">IFERROR(__xludf.DUMMYFUNCTION("GOOGLETRANSLATE(J97, ""auto"", ""ko"")"),"미스터 미닛 도쿄 메트로 메이지 ​​진구마에")</f>
        <v>미스터 미닛 도쿄 메트로 메이지 ​​진구마에</v>
      </c>
      <c r="F97" s="3" t="s">
        <v>336</v>
      </c>
      <c r="G97" s="3"/>
      <c r="H97" s="3">
        <v>35.6693</v>
      </c>
      <c r="I97" s="3">
        <v>139.70375000000001</v>
      </c>
      <c r="J97" s="3" t="str">
        <f ca="1">IFERROR(__xludf.DUMMYFUNCTION("GOOGLETRANSLATE(N97, ""auto"", ""ko"")"),"도쿄도 진구마에 롯초메")</f>
        <v>도쿄도 진구마에 롯초메</v>
      </c>
      <c r="K97" s="3" t="str">
        <f ca="1">IFERROR(__xludf.DUMMYFUNCTION("GOOGLETRANSLATE(P97, ""auto"", ""ko"")"),"도쿄도")</f>
        <v>도쿄도</v>
      </c>
      <c r="L97" s="3" t="str">
        <f ca="1">IFERROR(__xludf.DUMMYFUNCTION("GOOGLETRANSLATE(R97, ""auto"", ""ko"")"),"진구마에 롯초메")</f>
        <v>진구마에 롯초메</v>
      </c>
      <c r="M97" s="3">
        <v>13113</v>
      </c>
      <c r="N97" s="4" t="s">
        <v>337</v>
      </c>
      <c r="O97" s="4" t="s">
        <v>338</v>
      </c>
      <c r="P97" s="3" t="s">
        <v>180</v>
      </c>
      <c r="Q97" s="3" t="s">
        <v>181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2">
      <c r="A98" s="3">
        <v>180</v>
      </c>
      <c r="B98" s="3">
        <v>1</v>
      </c>
      <c r="C98" s="3" t="s">
        <v>175</v>
      </c>
      <c r="D98" s="3" t="s">
        <v>239</v>
      </c>
      <c r="E98" s="3" t="str">
        <f ca="1">IFERROR(__xludf.DUMMYFUNCTION("GOOGLETRANSLATE(J98, ""auto"", ""ko"")"),"B2F 메이지진구마에〈하라주쿠〉역")</f>
        <v>B2F 메이지진구마에〈하라주쿠〉역</v>
      </c>
      <c r="F98" s="3" t="s">
        <v>339</v>
      </c>
      <c r="G98" s="3"/>
      <c r="H98" s="3">
        <v>35.669170000000001</v>
      </c>
      <c r="I98" s="3">
        <v>139.70402000000001</v>
      </c>
      <c r="J98" s="3" t="str">
        <f ca="1">IFERROR(__xludf.DUMMYFUNCTION("GOOGLETRANSLATE(N98, ""auto"", ""ko"")"),"도쿄도 진구마에 롯초메")</f>
        <v>도쿄도 진구마에 롯초메</v>
      </c>
      <c r="K98" s="3" t="str">
        <f ca="1">IFERROR(__xludf.DUMMYFUNCTION("GOOGLETRANSLATE(P98, ""auto"", ""ko"")"),"도쿄도")</f>
        <v>도쿄도</v>
      </c>
      <c r="L98" s="3" t="str">
        <f ca="1">IFERROR(__xludf.DUMMYFUNCTION("GOOGLETRANSLATE(R98, ""auto"", ""ko"")"),"진구마에 롯초메")</f>
        <v>진구마에 롯초메</v>
      </c>
      <c r="M98" s="3">
        <v>13113</v>
      </c>
      <c r="N98" s="4" t="s">
        <v>340</v>
      </c>
      <c r="O98" s="4" t="s">
        <v>341</v>
      </c>
      <c r="P98" s="3" t="s">
        <v>180</v>
      </c>
      <c r="Q98" s="3" t="s">
        <v>181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2">
      <c r="A99" s="3">
        <v>181</v>
      </c>
      <c r="B99" s="3">
        <v>1</v>
      </c>
      <c r="C99" s="3" t="s">
        <v>175</v>
      </c>
      <c r="D99" s="3" t="s">
        <v>239</v>
      </c>
      <c r="E99" s="3" t="str">
        <f ca="1">IFERROR(__xludf.DUMMYFUNCTION("GOOGLETRANSLATE(J99, ""auto"", ""ko"")"),"B4F 진구마에 교차점 방면 개찰")</f>
        <v>B4F 진구마에 교차점 방면 개찰</v>
      </c>
      <c r="F99" s="3" t="s">
        <v>342</v>
      </c>
      <c r="G99" s="3" t="s">
        <v>343</v>
      </c>
      <c r="H99" s="3">
        <v>35.668300000000002</v>
      </c>
      <c r="I99" s="3">
        <v>139.70536000000001</v>
      </c>
      <c r="J99" s="3" t="str">
        <f ca="1">IFERROR(__xludf.DUMMYFUNCTION("GOOGLETRANSLATE(N99, ""auto"", ""ko"")"),"도쿄도 진구마에 롯초메")</f>
        <v>도쿄도 진구마에 롯초메</v>
      </c>
      <c r="K99" s="3" t="str">
        <f ca="1">IFERROR(__xludf.DUMMYFUNCTION("GOOGLETRANSLATE(P99, ""auto"", ""ko"")"),"도쿄도")</f>
        <v>도쿄도</v>
      </c>
      <c r="L99" s="3" t="str">
        <f ca="1">IFERROR(__xludf.DUMMYFUNCTION("GOOGLETRANSLATE(R99, ""auto"", ""ko"")"),"진구마에 롯초메")</f>
        <v>진구마에 롯초메</v>
      </c>
      <c r="M99" s="3">
        <v>13113</v>
      </c>
      <c r="N99" s="4" t="s">
        <v>344</v>
      </c>
      <c r="O99" s="4" t="s">
        <v>345</v>
      </c>
      <c r="P99" s="3" t="s">
        <v>180</v>
      </c>
      <c r="Q99" s="3" t="s">
        <v>181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2">
      <c r="A100" s="3">
        <v>182</v>
      </c>
      <c r="B100" s="3">
        <v>1</v>
      </c>
      <c r="C100" s="3" t="s">
        <v>175</v>
      </c>
      <c r="D100" s="3" t="s">
        <v>247</v>
      </c>
      <c r="E100" s="3" t="str">
        <f ca="1">IFERROR(__xludf.DUMMYFUNCTION("GOOGLETRANSLATE(J100, ""auto"", ""ko"")"),"메이지진구마에(하라주쿠)역 도쿄 메트로 부도심선 3·4번선 홈")</f>
        <v>메이지진구마에(하라주쿠)역 도쿄 메트로 부도심선 3·4번선 홈</v>
      </c>
      <c r="F100" s="3" t="s">
        <v>346</v>
      </c>
      <c r="G100" s="3"/>
      <c r="H100" s="3">
        <v>35.667870999999998</v>
      </c>
      <c r="I100" s="3">
        <v>139.70497230000001</v>
      </c>
      <c r="J100" s="3" t="str">
        <f ca="1">IFERROR(__xludf.DUMMYFUNCTION("GOOGLETRANSLATE(N100, ""auto"", ""ko"")"),"도쿄도 진구마에 롯초메")</f>
        <v>도쿄도 진구마에 롯초메</v>
      </c>
      <c r="K100" s="3" t="str">
        <f ca="1">IFERROR(__xludf.DUMMYFUNCTION("GOOGLETRANSLATE(P100, ""auto"", ""ko"")"),"도쿄도")</f>
        <v>도쿄도</v>
      </c>
      <c r="L100" s="3" t="str">
        <f ca="1">IFERROR(__xludf.DUMMYFUNCTION("GOOGLETRANSLATE(R100, ""auto"", ""ko"")"),"진구마에 롯초메")</f>
        <v>진구마에 롯초메</v>
      </c>
      <c r="M100" s="3">
        <v>13113</v>
      </c>
      <c r="N100" s="4" t="s">
        <v>347</v>
      </c>
      <c r="O100" s="4" t="s">
        <v>348</v>
      </c>
      <c r="P100" s="3" t="s">
        <v>180</v>
      </c>
      <c r="Q100" s="3" t="s">
        <v>181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2">
      <c r="A101" s="3">
        <v>183</v>
      </c>
      <c r="B101" s="3">
        <v>1</v>
      </c>
      <c r="C101" s="3" t="s">
        <v>175</v>
      </c>
      <c r="D101" s="3" t="s">
        <v>247</v>
      </c>
      <c r="E101" s="3" t="str">
        <f ca="1">IFERROR(__xludf.DUMMYFUNCTION("GOOGLETRANSLATE(J101, ""auto"", ""ko"")"),"시부야역 도쿄 메트로 후쿠토신선 5·6번선")</f>
        <v>시부야역 도쿄 메트로 후쿠토신선 5·6번선</v>
      </c>
      <c r="F101" s="3" t="s">
        <v>349</v>
      </c>
      <c r="G101" s="3"/>
      <c r="H101" s="3">
        <v>35.658583399999998</v>
      </c>
      <c r="I101" s="3">
        <v>139.7026089</v>
      </c>
      <c r="J101" s="3" t="str">
        <f ca="1">IFERROR(__xludf.DUMMYFUNCTION("GOOGLETRANSLATE(N101, ""auto"", ""ko"")"),"도쿄도 시부야 니쵸메")</f>
        <v>도쿄도 시부야 니쵸메</v>
      </c>
      <c r="K101" s="3" t="str">
        <f ca="1">IFERROR(__xludf.DUMMYFUNCTION("GOOGLETRANSLATE(P101, ""auto"", ""ko"")"),"도쿄도")</f>
        <v>도쿄도</v>
      </c>
      <c r="L101" s="3" t="str">
        <f ca="1">IFERROR(__xludf.DUMMYFUNCTION("GOOGLETRANSLATE(R101, ""auto"", ""ko"")"),"시부야 니쵸메")</f>
        <v>시부야 니쵸메</v>
      </c>
      <c r="M101" s="3">
        <v>13113</v>
      </c>
      <c r="N101" s="4" t="s">
        <v>350</v>
      </c>
      <c r="O101" s="4" t="s">
        <v>351</v>
      </c>
      <c r="P101" s="3" t="s">
        <v>180</v>
      </c>
      <c r="Q101" s="3" t="s">
        <v>181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2">
      <c r="A102" s="3">
        <v>184</v>
      </c>
      <c r="B102" s="3">
        <v>1</v>
      </c>
      <c r="C102" s="3" t="s">
        <v>175</v>
      </c>
      <c r="D102" s="3" t="s">
        <v>352</v>
      </c>
      <c r="E102" s="3" t="str">
        <f ca="1">IFERROR(__xludf.DUMMYFUNCTION("GOOGLETRANSLATE(J102, ""auto"", ""ko"")"),"모선")</f>
        <v>모선</v>
      </c>
      <c r="F102" s="3" t="s">
        <v>353</v>
      </c>
      <c r="G102" s="3" t="s">
        <v>354</v>
      </c>
      <c r="H102" s="3">
        <v>35.669339999999998</v>
      </c>
      <c r="I102" s="3">
        <v>139.70277999999999</v>
      </c>
      <c r="J102" s="3" t="str">
        <f ca="1">IFERROR(__xludf.DUMMYFUNCTION("GOOGLETRANSLATE(N102, ""auto"", ""ko"")"),"도쿄도 진구마에 롯초메")</f>
        <v>도쿄도 진구마에 롯초메</v>
      </c>
      <c r="K102" s="3" t="str">
        <f ca="1">IFERROR(__xludf.DUMMYFUNCTION("GOOGLETRANSLATE(P102, ""auto"", ""ko"")"),"도쿄도")</f>
        <v>도쿄도</v>
      </c>
      <c r="L102" s="3" t="str">
        <f ca="1">IFERROR(__xludf.DUMMYFUNCTION("GOOGLETRANSLATE(R102, ""auto"", ""ko"")"),"진구마에 롯초메")</f>
        <v>진구마에 롯초메</v>
      </c>
      <c r="M102" s="3">
        <v>13113</v>
      </c>
      <c r="N102" s="4" t="s">
        <v>355</v>
      </c>
      <c r="O102" s="4" t="s">
        <v>356</v>
      </c>
      <c r="P102" s="3" t="s">
        <v>180</v>
      </c>
      <c r="Q102" s="3" t="s">
        <v>181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2">
      <c r="A103" s="3">
        <v>185</v>
      </c>
      <c r="B103" s="3">
        <v>1</v>
      </c>
      <c r="C103" s="3" t="s">
        <v>175</v>
      </c>
      <c r="D103" s="3" t="s">
        <v>352</v>
      </c>
      <c r="E103" s="3" t="str">
        <f ca="1">IFERROR(__xludf.DUMMYFUNCTION("GOOGLETRANSLATE(J103, ""auto"", ""ko"")"),"패밀리마트 시부야 잇쵸메점")</f>
        <v>패밀리마트 시부야 잇쵸메점</v>
      </c>
      <c r="F103" s="3" t="s">
        <v>357</v>
      </c>
      <c r="G103" s="3"/>
      <c r="H103" s="3">
        <v>35.660783899999998</v>
      </c>
      <c r="I103" s="3">
        <v>139.70224160000001</v>
      </c>
      <c r="J103" s="3" t="str">
        <f ca="1">IFERROR(__xludf.DUMMYFUNCTION("GOOGLETRANSLATE(N103, ""auto"", ""ko"")"),"도쿄도 시부야 잇쵸메")</f>
        <v>도쿄도 시부야 잇쵸메</v>
      </c>
      <c r="K103" s="3" t="str">
        <f ca="1">IFERROR(__xludf.DUMMYFUNCTION("GOOGLETRANSLATE(P103, ""auto"", ""ko"")"),"도쿄도")</f>
        <v>도쿄도</v>
      </c>
      <c r="L103" s="3" t="str">
        <f ca="1">IFERROR(__xludf.DUMMYFUNCTION("GOOGLETRANSLATE(R103, ""auto"", ""ko"")"),"시부야 잇쵸메")</f>
        <v>시부야 잇쵸메</v>
      </c>
      <c r="M103" s="3">
        <v>13113</v>
      </c>
      <c r="N103" s="4" t="s">
        <v>358</v>
      </c>
      <c r="O103" s="4" t="s">
        <v>359</v>
      </c>
      <c r="P103" s="3" t="s">
        <v>180</v>
      </c>
      <c r="Q103" s="3" t="s">
        <v>181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2">
      <c r="A104" s="3">
        <v>186</v>
      </c>
      <c r="B104" s="3">
        <v>1</v>
      </c>
      <c r="C104" s="3" t="s">
        <v>175</v>
      </c>
      <c r="D104" s="3" t="s">
        <v>352</v>
      </c>
      <c r="E104" s="3" t="str">
        <f ca="1">IFERROR(__xludf.DUMMYFUNCTION("GOOGLETRANSLATE(J104, ""auto"", ""ko"")"),"세컨드 스트리트 시부야 신난점")</f>
        <v>세컨드 스트리트 시부야 신난점</v>
      </c>
      <c r="F104" s="3" t="s">
        <v>360</v>
      </c>
      <c r="G104" s="3"/>
      <c r="H104" s="3">
        <v>35.6615258</v>
      </c>
      <c r="I104" s="3">
        <v>139.7007873</v>
      </c>
      <c r="J104" s="3" t="str">
        <f ca="1">IFERROR(__xludf.DUMMYFUNCTION("GOOGLETRANSLATE(N104, ""auto"", ""ko"")"),"도쿄도 신난 잇쵸메")</f>
        <v>도쿄도 신난 잇쵸메</v>
      </c>
      <c r="K104" s="3" t="str">
        <f ca="1">IFERROR(__xludf.DUMMYFUNCTION("GOOGLETRANSLATE(P104, ""auto"", ""ko"")"),"도쿄도")</f>
        <v>도쿄도</v>
      </c>
      <c r="L104" s="3" t="str">
        <f ca="1">IFERROR(__xludf.DUMMYFUNCTION("GOOGLETRANSLATE(R104, ""auto"", ""ko"")"),"신난 잇쵸메")</f>
        <v>신난 잇쵸메</v>
      </c>
      <c r="M104" s="3">
        <v>13113</v>
      </c>
      <c r="N104" s="4" t="s">
        <v>361</v>
      </c>
      <c r="O104" s="4" t="s">
        <v>362</v>
      </c>
      <c r="P104" s="3" t="s">
        <v>180</v>
      </c>
      <c r="Q104" s="3" t="s">
        <v>181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2">
      <c r="A105" s="3">
        <v>187</v>
      </c>
      <c r="B105" s="3">
        <v>1</v>
      </c>
      <c r="C105" s="3" t="s">
        <v>175</v>
      </c>
      <c r="D105" s="3" t="s">
        <v>352</v>
      </c>
      <c r="E105" s="3" t="str">
        <f ca="1">IFERROR(__xludf.DUMMYFUNCTION("GOOGLETRANSLATE(J105, ""auto"", ""ko"")"),"시부야 도큐 REI 호텔")</f>
        <v>시부야 도큐 REI 호텔</v>
      </c>
      <c r="F105" s="3" t="s">
        <v>363</v>
      </c>
      <c r="G105" s="3"/>
      <c r="H105" s="3">
        <v>35.660249999999998</v>
      </c>
      <c r="I105" s="3">
        <v>139.70219</v>
      </c>
      <c r="J105" s="3" t="str">
        <f ca="1">IFERROR(__xludf.DUMMYFUNCTION("GOOGLETRANSLATE(N105, ""auto"", ""ko"")"),"도쿄도 시부야 잇쵸메")</f>
        <v>도쿄도 시부야 잇쵸메</v>
      </c>
      <c r="K105" s="3" t="str">
        <f ca="1">IFERROR(__xludf.DUMMYFUNCTION("GOOGLETRANSLATE(P105, ""auto"", ""ko"")"),"도쿄도")</f>
        <v>도쿄도</v>
      </c>
      <c r="L105" s="3" t="str">
        <f ca="1">IFERROR(__xludf.DUMMYFUNCTION("GOOGLETRANSLATE(R105, ""auto"", ""ko"")"),"시부야 잇쵸메")</f>
        <v>시부야 잇쵸메</v>
      </c>
      <c r="M105" s="3">
        <v>13113</v>
      </c>
      <c r="N105" s="4" t="s">
        <v>364</v>
      </c>
      <c r="O105" s="4" t="s">
        <v>365</v>
      </c>
      <c r="P105" s="3" t="s">
        <v>180</v>
      </c>
      <c r="Q105" s="3" t="s">
        <v>181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2">
      <c r="A106" s="3">
        <v>188</v>
      </c>
      <c r="B106" s="3">
        <v>1</v>
      </c>
      <c r="C106" s="3" t="s">
        <v>175</v>
      </c>
      <c r="D106" s="3" t="s">
        <v>255</v>
      </c>
      <c r="E106" s="3" t="str">
        <f ca="1">IFERROR(__xludf.DUMMYFUNCTION("GOOGLETRANSLATE(J106, ""auto"", ""ko"")"),"시부야 모디")</f>
        <v>시부야 모디</v>
      </c>
      <c r="F106" s="3" t="s">
        <v>366</v>
      </c>
      <c r="G106" s="3"/>
      <c r="H106" s="3">
        <v>35.661239600000002</v>
      </c>
      <c r="I106" s="3">
        <v>139.7007869</v>
      </c>
      <c r="J106" s="3" t="str">
        <f ca="1">IFERROR(__xludf.DUMMYFUNCTION("GOOGLETRANSLATE(N106, ""auto"", ""ko"")"),"도쿄도 신난 잇쵸메")</f>
        <v>도쿄도 신난 잇쵸메</v>
      </c>
      <c r="K106" s="3" t="str">
        <f ca="1">IFERROR(__xludf.DUMMYFUNCTION("GOOGLETRANSLATE(P106, ""auto"", ""ko"")"),"도쿄도")</f>
        <v>도쿄도</v>
      </c>
      <c r="L106" s="3" t="str">
        <f ca="1">IFERROR(__xludf.DUMMYFUNCTION("GOOGLETRANSLATE(R106, ""auto"", ""ko"")"),"신난 잇쵸메")</f>
        <v>신난 잇쵸메</v>
      </c>
      <c r="M106" s="3">
        <v>13113</v>
      </c>
      <c r="N106" s="4" t="s">
        <v>367</v>
      </c>
      <c r="O106" s="4" t="s">
        <v>368</v>
      </c>
      <c r="P106" s="3" t="s">
        <v>180</v>
      </c>
      <c r="Q106" s="3" t="s">
        <v>181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2">
      <c r="A107" s="3">
        <v>189</v>
      </c>
      <c r="B107" s="3">
        <v>1</v>
      </c>
      <c r="C107" s="3" t="s">
        <v>175</v>
      </c>
      <c r="D107" s="3" t="s">
        <v>255</v>
      </c>
      <c r="E107" s="3" t="str">
        <f ca="1">IFERROR(__xludf.DUMMYFUNCTION("GOOGLETRANSLATE(J107, ""auto"", ""ko"")"),"브릿지 시부야 21")</f>
        <v>브릿지 시부야 21</v>
      </c>
      <c r="F107" s="3" t="s">
        <v>369</v>
      </c>
      <c r="G107" s="3"/>
      <c r="H107" s="3">
        <v>35.656590000000001</v>
      </c>
      <c r="I107" s="3">
        <v>139.69900000000001</v>
      </c>
      <c r="J107" s="3" t="str">
        <f ca="1">IFERROR(__xludf.DUMMYFUNCTION("GOOGLETRANSLATE(N107, ""auto"", ""ko"")"),"도쿄도 도겐자카 잇쵸메")</f>
        <v>도쿄도 도겐자카 잇쵸메</v>
      </c>
      <c r="K107" s="3" t="str">
        <f ca="1">IFERROR(__xludf.DUMMYFUNCTION("GOOGLETRANSLATE(P107, ""auto"", ""ko"")"),"도쿄도")</f>
        <v>도쿄도</v>
      </c>
      <c r="L107" s="3" t="str">
        <f ca="1">IFERROR(__xludf.DUMMYFUNCTION("GOOGLETRANSLATE(R107, ""auto"", ""ko"")"),"도겐자카 잇쵸메")</f>
        <v>도겐자카 잇쵸메</v>
      </c>
      <c r="M107" s="3">
        <v>13113</v>
      </c>
      <c r="N107" s="4" t="s">
        <v>370</v>
      </c>
      <c r="O107" s="4" t="s">
        <v>371</v>
      </c>
      <c r="P107" s="3" t="s">
        <v>180</v>
      </c>
      <c r="Q107" s="3" t="s">
        <v>181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2">
      <c r="A108" s="3">
        <v>190</v>
      </c>
      <c r="B108" s="3">
        <v>1</v>
      </c>
      <c r="C108" s="3" t="s">
        <v>175</v>
      </c>
      <c r="D108" s="3" t="s">
        <v>62</v>
      </c>
      <c r="E108" s="3" t="str">
        <f ca="1">IFERROR(__xludf.DUMMYFUNCTION("GOOGLETRANSLATE(J108, ""auto"", ""ko"")"),"시부야역(버스)")</f>
        <v>시부야역(버스)</v>
      </c>
      <c r="F108" s="3" t="s">
        <v>372</v>
      </c>
      <c r="G108" s="3"/>
      <c r="H108" s="3">
        <v>35.656780500000004</v>
      </c>
      <c r="I108" s="3">
        <v>139.69948009999999</v>
      </c>
      <c r="J108" s="3" t="str">
        <f ca="1">IFERROR(__xludf.DUMMYFUNCTION("GOOGLETRANSLATE(N108, ""auto"", ""ko"")"),"도쿄도 도겐자카 잇쵸메")</f>
        <v>도쿄도 도겐자카 잇쵸메</v>
      </c>
      <c r="K108" s="3" t="str">
        <f ca="1">IFERROR(__xludf.DUMMYFUNCTION("GOOGLETRANSLATE(P108, ""auto"", ""ko"")"),"도쿄도")</f>
        <v>도쿄도</v>
      </c>
      <c r="L108" s="3" t="str">
        <f ca="1">IFERROR(__xludf.DUMMYFUNCTION("GOOGLETRANSLATE(R108, ""auto"", ""ko"")"),"도겐자카 잇쵸메")</f>
        <v>도겐자카 잇쵸메</v>
      </c>
      <c r="M108" s="3">
        <v>13113</v>
      </c>
      <c r="N108" s="4" t="s">
        <v>373</v>
      </c>
      <c r="O108" s="4" t="s">
        <v>374</v>
      </c>
      <c r="P108" s="3" t="s">
        <v>180</v>
      </c>
      <c r="Q108" s="3" t="s">
        <v>181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2">
      <c r="A109" s="3">
        <v>191</v>
      </c>
      <c r="B109" s="3">
        <v>1</v>
      </c>
      <c r="C109" s="3" t="s">
        <v>175</v>
      </c>
      <c r="D109" s="3" t="s">
        <v>62</v>
      </c>
      <c r="E109" s="3" t="str">
        <f ca="1">IFERROR(__xludf.DUMMYFUNCTION("GOOGLETRANSLATE(J109, ""auto"", ""ko"")"),"이케코 시부야")</f>
        <v>이케코 시부야</v>
      </c>
      <c r="F109" s="3" t="s">
        <v>375</v>
      </c>
      <c r="G109" s="3"/>
      <c r="H109" s="3">
        <v>35.659442400000003</v>
      </c>
      <c r="I109" s="3">
        <v>139.69547470000001</v>
      </c>
      <c r="J109" s="3" t="str">
        <f ca="1">IFERROR(__xludf.DUMMYFUNCTION("GOOGLETRANSLATE(N109, ""auto"", ""ko"")"),"도쿄도 마루야마초")</f>
        <v>도쿄도 마루야마초</v>
      </c>
      <c r="K109" s="3" t="str">
        <f ca="1">IFERROR(__xludf.DUMMYFUNCTION("GOOGLETRANSLATE(P109, ""auto"", ""ko"")"),"도쿄도")</f>
        <v>도쿄도</v>
      </c>
      <c r="L109" s="3" t="str">
        <f ca="1">IFERROR(__xludf.DUMMYFUNCTION("GOOGLETRANSLATE(R109, ""auto"", ""ko"")"),"마루야마초")</f>
        <v>마루야마초</v>
      </c>
      <c r="M109" s="3">
        <v>13113</v>
      </c>
      <c r="N109" s="4" t="s">
        <v>376</v>
      </c>
      <c r="O109" s="4" t="s">
        <v>377</v>
      </c>
      <c r="P109" s="3" t="s">
        <v>180</v>
      </c>
      <c r="Q109" s="3" t="s">
        <v>181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2">
      <c r="A110" s="3">
        <v>192</v>
      </c>
      <c r="B110" s="3">
        <v>1</v>
      </c>
      <c r="C110" s="3" t="s">
        <v>175</v>
      </c>
      <c r="D110" s="3" t="s">
        <v>62</v>
      </c>
      <c r="E110" s="3" t="str">
        <f ca="1">IFERROR(__xludf.DUMMYFUNCTION("GOOGLETRANSLATE(J110, ""auto"", ""ko"")"),"도큐 백화점 본점 앞(버스)")</f>
        <v>도큐 백화점 본점 앞(버스)</v>
      </c>
      <c r="F110" s="3" t="s">
        <v>378</v>
      </c>
      <c r="G110" s="3"/>
      <c r="H110" s="3">
        <v>35.660124099999997</v>
      </c>
      <c r="I110" s="3">
        <v>139.6957658</v>
      </c>
      <c r="J110" s="3" t="str">
        <f ca="1">IFERROR(__xludf.DUMMYFUNCTION("GOOGLETRANSLATE(N110, ""auto"", ""ko"")"),"도쿄도 도겐자카 니쵸메")</f>
        <v>도쿄도 도겐자카 니쵸메</v>
      </c>
      <c r="K110" s="3" t="str">
        <f ca="1">IFERROR(__xludf.DUMMYFUNCTION("GOOGLETRANSLATE(P110, ""auto"", ""ko"")"),"도쿄도")</f>
        <v>도쿄도</v>
      </c>
      <c r="L110" s="3" t="str">
        <f ca="1">IFERROR(__xludf.DUMMYFUNCTION("GOOGLETRANSLATE(R110, ""auto"", ""ko"")"),"도겐자카 니쵸메")</f>
        <v>도겐자카 니쵸메</v>
      </c>
      <c r="M110" s="3">
        <v>13113</v>
      </c>
      <c r="N110" s="4" t="s">
        <v>379</v>
      </c>
      <c r="O110" s="4" t="s">
        <v>380</v>
      </c>
      <c r="P110" s="3" t="s">
        <v>180</v>
      </c>
      <c r="Q110" s="3" t="s">
        <v>181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2">
      <c r="A111" s="3">
        <v>193</v>
      </c>
      <c r="B111" s="3">
        <v>1</v>
      </c>
      <c r="C111" s="3" t="s">
        <v>175</v>
      </c>
      <c r="D111" s="3" t="s">
        <v>62</v>
      </c>
      <c r="E111" s="3" t="str">
        <f ca="1">IFERROR(__xludf.DUMMYFUNCTION("GOOGLETRANSLATE(J111, ""auto"", ""ko"")"),"나류 소금 라멘 도큐 본점 앞점")</f>
        <v>나류 소금 라멘 도큐 본점 앞점</v>
      </c>
      <c r="F111" s="3" t="s">
        <v>381</v>
      </c>
      <c r="G111" s="3" t="s">
        <v>382</v>
      </c>
      <c r="H111" s="3">
        <v>35.660319999999999</v>
      </c>
      <c r="I111" s="3">
        <v>139.69636</v>
      </c>
      <c r="J111" s="3" t="str">
        <f ca="1">IFERROR(__xludf.DUMMYFUNCTION("GOOGLETRANSLATE(N111, ""auto"", ""ko"")"),"도쿄도 도겐자카 니쵸메")</f>
        <v>도쿄도 도겐자카 니쵸메</v>
      </c>
      <c r="K111" s="3" t="str">
        <f ca="1">IFERROR(__xludf.DUMMYFUNCTION("GOOGLETRANSLATE(P111, ""auto"", ""ko"")"),"도쿄도")</f>
        <v>도쿄도</v>
      </c>
      <c r="L111" s="3" t="str">
        <f ca="1">IFERROR(__xludf.DUMMYFUNCTION("GOOGLETRANSLATE(R111, ""auto"", ""ko"")"),"도겐자카 니쵸메")</f>
        <v>도겐자카 니쵸메</v>
      </c>
      <c r="M111" s="3">
        <v>13113</v>
      </c>
      <c r="N111" s="4" t="s">
        <v>383</v>
      </c>
      <c r="O111" s="4" t="s">
        <v>384</v>
      </c>
      <c r="P111" s="3" t="s">
        <v>180</v>
      </c>
      <c r="Q111" s="3" t="s">
        <v>181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2">
      <c r="A112" s="3">
        <v>194</v>
      </c>
      <c r="B112" s="3">
        <v>1</v>
      </c>
      <c r="C112" s="3" t="s">
        <v>175</v>
      </c>
      <c r="D112" s="3" t="s">
        <v>259</v>
      </c>
      <c r="E112" s="3" t="str">
        <f ca="1">IFERROR(__xludf.DUMMYFUNCTION("GOOGLETRANSLATE(J112, ""auto"", ""ko"")"),"시부야역 동쪽 출구(버스)")</f>
        <v>시부야역 동쪽 출구(버스)</v>
      </c>
      <c r="F112" s="3" t="s">
        <v>385</v>
      </c>
      <c r="G112" s="3"/>
      <c r="H112" s="3">
        <v>35.658340000000003</v>
      </c>
      <c r="I112" s="3">
        <v>139.70312999999999</v>
      </c>
      <c r="J112" s="3" t="str">
        <f ca="1">IFERROR(__xludf.DUMMYFUNCTION("GOOGLETRANSLATE(N112, ""auto"", ""ko"")"),"도쿄도 시부야 니쵸메")</f>
        <v>도쿄도 시부야 니쵸메</v>
      </c>
      <c r="K112" s="3" t="str">
        <f ca="1">IFERROR(__xludf.DUMMYFUNCTION("GOOGLETRANSLATE(P112, ""auto"", ""ko"")"),"도쿄도")</f>
        <v>도쿄도</v>
      </c>
      <c r="L112" s="3" t="str">
        <f ca="1">IFERROR(__xludf.DUMMYFUNCTION("GOOGLETRANSLATE(R112, ""auto"", ""ko"")"),"시부야 니쵸메")</f>
        <v>시부야 니쵸메</v>
      </c>
      <c r="M112" s="3">
        <v>13113</v>
      </c>
      <c r="N112" s="4" t="s">
        <v>386</v>
      </c>
      <c r="O112" s="4" t="s">
        <v>387</v>
      </c>
      <c r="P112" s="3" t="s">
        <v>180</v>
      </c>
      <c r="Q112" s="3" t="s">
        <v>181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2">
      <c r="A113" s="3">
        <v>195</v>
      </c>
      <c r="B113" s="3">
        <v>1</v>
      </c>
      <c r="C113" s="3" t="s">
        <v>175</v>
      </c>
      <c r="D113" s="3" t="s">
        <v>259</v>
      </c>
      <c r="E113" s="3" t="str">
        <f ca="1">IFERROR(__xludf.DUMMYFUNCTION("GOOGLETRANSLATE(J113, ""auto"", ""ko"")"),"B4F 시부야 히카리에 1 개찰구 부근")</f>
        <v>B4F 시부야 히카리에 1 개찰구 부근</v>
      </c>
      <c r="F113" s="3" t="s">
        <v>388</v>
      </c>
      <c r="G113" s="3"/>
      <c r="H113" s="3">
        <v>35.659100000000002</v>
      </c>
      <c r="I113" s="3">
        <v>139.70256000000001</v>
      </c>
      <c r="J113" s="3" t="str">
        <f ca="1">IFERROR(__xludf.DUMMYFUNCTION("GOOGLETRANSLATE(N113, ""auto"", ""ko"")"),"도쿄도 시부야 니쵸메")</f>
        <v>도쿄도 시부야 니쵸메</v>
      </c>
      <c r="K113" s="3" t="str">
        <f ca="1">IFERROR(__xludf.DUMMYFUNCTION("GOOGLETRANSLATE(P113, ""auto"", ""ko"")"),"도쿄도")</f>
        <v>도쿄도</v>
      </c>
      <c r="L113" s="3" t="str">
        <f ca="1">IFERROR(__xludf.DUMMYFUNCTION("GOOGLETRANSLATE(R113, ""auto"", ""ko"")"),"시부야 니쵸메")</f>
        <v>시부야 니쵸메</v>
      </c>
      <c r="M113" s="3">
        <v>13113</v>
      </c>
      <c r="N113" s="4" t="s">
        <v>389</v>
      </c>
      <c r="O113" s="4" t="s">
        <v>390</v>
      </c>
      <c r="P113" s="3" t="s">
        <v>180</v>
      </c>
      <c r="Q113" s="3" t="s">
        <v>181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2">
      <c r="A114" s="3">
        <v>196</v>
      </c>
      <c r="B114" s="3">
        <v>1</v>
      </c>
      <c r="C114" s="3" t="s">
        <v>175</v>
      </c>
      <c r="D114" s="3" t="s">
        <v>263</v>
      </c>
      <c r="E114" s="3" t="str">
        <f ca="1">IFERROR(__xludf.DUMMYFUNCTION("GOOGLETRANSLATE(J114, ""auto"", ""ko"")"),"2F 애비뉴 게이트")</f>
        <v>2F 애비뉴 게이트</v>
      </c>
      <c r="F114" s="3" t="s">
        <v>391</v>
      </c>
      <c r="G114" s="3"/>
      <c r="H114" s="3">
        <v>35.6583124</v>
      </c>
      <c r="I114" s="3">
        <v>139.6984803</v>
      </c>
      <c r="J114" s="3" t="str">
        <f ca="1">IFERROR(__xludf.DUMMYFUNCTION("GOOGLETRANSLATE(N114, ""auto"", ""ko"")"),"도쿄도 도겐자카 잇쵸메")</f>
        <v>도쿄도 도겐자카 잇쵸메</v>
      </c>
      <c r="K114" s="3" t="str">
        <f ca="1">IFERROR(__xludf.DUMMYFUNCTION("GOOGLETRANSLATE(P114, ""auto"", ""ko"")"),"도쿄도")</f>
        <v>도쿄도</v>
      </c>
      <c r="L114" s="3" t="str">
        <f ca="1">IFERROR(__xludf.DUMMYFUNCTION("GOOGLETRANSLATE(R114, ""auto"", ""ko"")"),"도겐자카 잇쵸메")</f>
        <v>도겐자카 잇쵸메</v>
      </c>
      <c r="M114" s="3">
        <v>13113</v>
      </c>
      <c r="N114" s="4" t="s">
        <v>392</v>
      </c>
      <c r="O114" s="4" t="s">
        <v>393</v>
      </c>
      <c r="P114" s="3" t="s">
        <v>180</v>
      </c>
      <c r="Q114" s="3" t="s">
        <v>181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2">
      <c r="A115" s="3">
        <v>197</v>
      </c>
      <c r="B115" s="3">
        <v>1</v>
      </c>
      <c r="C115" s="3" t="s">
        <v>175</v>
      </c>
      <c r="D115" s="3" t="s">
        <v>394</v>
      </c>
      <c r="E115" s="3" t="str">
        <f ca="1">IFERROR(__xludf.DUMMYFUNCTION("GOOGLETRANSLATE(J115, ""auto"", ""ko"")"),"오카모토 타로 「내일의 신화」")</f>
        <v>오카모토 타로 「내일의 신화」</v>
      </c>
      <c r="F115" s="3" t="s">
        <v>395</v>
      </c>
      <c r="G115" s="3"/>
      <c r="H115" s="3">
        <v>35.658771299999998</v>
      </c>
      <c r="I115" s="3">
        <v>139.7002641</v>
      </c>
      <c r="J115" s="3" t="str">
        <f ca="1">IFERROR(__xludf.DUMMYFUNCTION("GOOGLETRANSLATE(N115, ""auto"", ""ko"")"),"도쿄도 도겐자카 잇쵸메")</f>
        <v>도쿄도 도겐자카 잇쵸메</v>
      </c>
      <c r="K115" s="3" t="str">
        <f ca="1">IFERROR(__xludf.DUMMYFUNCTION("GOOGLETRANSLATE(P115, ""auto"", ""ko"")"),"도쿄도")</f>
        <v>도쿄도</v>
      </c>
      <c r="L115" s="3" t="str">
        <f ca="1">IFERROR(__xludf.DUMMYFUNCTION("GOOGLETRANSLATE(R115, ""auto"", ""ko"")"),"도겐자카 잇쵸메")</f>
        <v>도겐자카 잇쵸메</v>
      </c>
      <c r="M115" s="3">
        <v>13113</v>
      </c>
      <c r="N115" s="4" t="s">
        <v>396</v>
      </c>
      <c r="O115" s="4" t="s">
        <v>397</v>
      </c>
      <c r="P115" s="3" t="s">
        <v>180</v>
      </c>
      <c r="Q115" s="3" t="s">
        <v>181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2">
      <c r="A116" s="3">
        <v>198</v>
      </c>
      <c r="B116" s="3">
        <v>1</v>
      </c>
      <c r="C116" s="3" t="s">
        <v>175</v>
      </c>
      <c r="D116" s="3" t="s">
        <v>398</v>
      </c>
      <c r="E116" s="3" t="str">
        <f ca="1">IFERROR(__xludf.DUMMYFUNCTION("GOOGLETRANSLATE(J116, ""auto"", ""ko"")"),"시부야 프렌즈 동물병원")</f>
        <v>시부야 프렌즈 동물병원</v>
      </c>
      <c r="F116" s="3" t="s">
        <v>399</v>
      </c>
      <c r="G116" s="3"/>
      <c r="H116" s="3">
        <v>35.656730000000003</v>
      </c>
      <c r="I116" s="3">
        <v>139.7047</v>
      </c>
      <c r="J116" s="3" t="str">
        <f ca="1">IFERROR(__xludf.DUMMYFUNCTION("GOOGLETRANSLATE(N116, ""auto"", ""ko"")"),"도쿄도 시부야 산쵸메")</f>
        <v>도쿄도 시부야 산쵸메</v>
      </c>
      <c r="K116" s="3" t="str">
        <f ca="1">IFERROR(__xludf.DUMMYFUNCTION("GOOGLETRANSLATE(P116, ""auto"", ""ko"")"),"도쿄도")</f>
        <v>도쿄도</v>
      </c>
      <c r="L116" s="3" t="str">
        <f ca="1">IFERROR(__xludf.DUMMYFUNCTION("GOOGLETRANSLATE(R116, ""auto"", ""ko"")"),"시부야 산쵸메")</f>
        <v>시부야 산쵸메</v>
      </c>
      <c r="M116" s="3">
        <v>13113</v>
      </c>
      <c r="N116" s="4" t="s">
        <v>400</v>
      </c>
      <c r="O116" s="4" t="s">
        <v>401</v>
      </c>
      <c r="P116" s="3" t="s">
        <v>180</v>
      </c>
      <c r="Q116" s="3" t="s">
        <v>181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2">
      <c r="A117" s="3">
        <v>199</v>
      </c>
      <c r="B117" s="3">
        <v>1</v>
      </c>
      <c r="C117" s="3" t="s">
        <v>175</v>
      </c>
      <c r="D117" s="3" t="s">
        <v>398</v>
      </c>
      <c r="E117" s="3" t="str">
        <f ca="1">IFERROR(__xludf.DUMMYFUNCTION("GOOGLETRANSLATE(J117, ""auto"", ""ko"")"),"RELX 베이프 &amp; 뉴스 스탠드")</f>
        <v>RELX 베이프 &amp; 뉴스 스탠드</v>
      </c>
      <c r="F117" s="3" t="s">
        <v>402</v>
      </c>
      <c r="G117" s="3"/>
      <c r="H117" s="3">
        <v>35.658799999999999</v>
      </c>
      <c r="I117" s="3">
        <v>139.70024000000001</v>
      </c>
      <c r="J117" s="3" t="str">
        <f ca="1">IFERROR(__xludf.DUMMYFUNCTION("GOOGLETRANSLATE(N117, ""auto"", ""ko"")"),"도쿄도 도겐자카 잇쵸메")</f>
        <v>도쿄도 도겐자카 잇쵸메</v>
      </c>
      <c r="K117" s="3" t="str">
        <f ca="1">IFERROR(__xludf.DUMMYFUNCTION("GOOGLETRANSLATE(P117, ""auto"", ""ko"")"),"도쿄도")</f>
        <v>도쿄도</v>
      </c>
      <c r="L117" s="3" t="str">
        <f ca="1">IFERROR(__xludf.DUMMYFUNCTION("GOOGLETRANSLATE(R117, ""auto"", ""ko"")"),"도겐자카 잇쵸메")</f>
        <v>도겐자카 잇쵸메</v>
      </c>
      <c r="M117" s="3">
        <v>13113</v>
      </c>
      <c r="N117" s="4" t="s">
        <v>403</v>
      </c>
      <c r="O117" s="4" t="s">
        <v>404</v>
      </c>
      <c r="P117" s="3" t="s">
        <v>180</v>
      </c>
      <c r="Q117" s="3" t="s">
        <v>181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2">
      <c r="A118" s="3">
        <v>200</v>
      </c>
      <c r="B118" s="3">
        <v>1</v>
      </c>
      <c r="C118" s="3" t="s">
        <v>175</v>
      </c>
      <c r="D118" s="3" t="s">
        <v>398</v>
      </c>
      <c r="E118" s="3" t="str">
        <f ca="1">IFERROR(__xludf.DUMMYFUNCTION("GOOGLETRANSLATE(J118, ""auto"", ""ko"")"),"스타벅스 커피 시부야 스트림점")</f>
        <v>스타벅스 커피 시부야 스트림점</v>
      </c>
      <c r="F118" s="3" t="s">
        <v>405</v>
      </c>
      <c r="G118" s="3"/>
      <c r="H118" s="3">
        <v>35.65746</v>
      </c>
      <c r="I118" s="3">
        <v>139.70259999999999</v>
      </c>
      <c r="J118" s="3" t="str">
        <f ca="1">IFERROR(__xludf.DUMMYFUNCTION("GOOGLETRANSLATE(N118, ""auto"", ""ko"")"),"도쿄도 시부야 산쵸메")</f>
        <v>도쿄도 시부야 산쵸메</v>
      </c>
      <c r="K118" s="3" t="str">
        <f ca="1">IFERROR(__xludf.DUMMYFUNCTION("GOOGLETRANSLATE(P118, ""auto"", ""ko"")"),"도쿄도")</f>
        <v>도쿄도</v>
      </c>
      <c r="L118" s="3" t="str">
        <f ca="1">IFERROR(__xludf.DUMMYFUNCTION("GOOGLETRANSLATE(R118, ""auto"", ""ko"")"),"시부야 산쵸메")</f>
        <v>시부야 산쵸메</v>
      </c>
      <c r="M118" s="3">
        <v>13113</v>
      </c>
      <c r="N118" s="4" t="s">
        <v>406</v>
      </c>
      <c r="O118" s="4" t="s">
        <v>407</v>
      </c>
      <c r="P118" s="3" t="s">
        <v>180</v>
      </c>
      <c r="Q118" s="3" t="s">
        <v>181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2">
      <c r="A119" s="3">
        <v>201</v>
      </c>
      <c r="B119" s="3">
        <v>1</v>
      </c>
      <c r="C119" s="3" t="s">
        <v>175</v>
      </c>
      <c r="D119" s="3" t="s">
        <v>398</v>
      </c>
      <c r="E119" s="3" t="str">
        <f ca="1">IFERROR(__xludf.DUMMYFUNCTION("GOOGLETRANSLATE(J119, ""auto"", ""ko"")"),"패밀리마트 시부야도 겐자카 플라자 거리점")</f>
        <v>패밀리마트 시부야도 겐자카 플라자 거리점</v>
      </c>
      <c r="F119" s="3" t="s">
        <v>408</v>
      </c>
      <c r="G119" s="3"/>
      <c r="H119" s="3">
        <v>35.657699999999998</v>
      </c>
      <c r="I119" s="3">
        <v>139.69964999999999</v>
      </c>
      <c r="J119" s="3" t="str">
        <f ca="1">IFERROR(__xludf.DUMMYFUNCTION("GOOGLETRANSLATE(N119, ""auto"", ""ko"")"),"도쿄도 도겐자카 잇쵸메")</f>
        <v>도쿄도 도겐자카 잇쵸메</v>
      </c>
      <c r="K119" s="3" t="str">
        <f ca="1">IFERROR(__xludf.DUMMYFUNCTION("GOOGLETRANSLATE(P119, ""auto"", ""ko"")"),"도쿄도")</f>
        <v>도쿄도</v>
      </c>
      <c r="L119" s="3" t="str">
        <f ca="1">IFERROR(__xludf.DUMMYFUNCTION("GOOGLETRANSLATE(R119, ""auto"", ""ko"")"),"도겐자카 잇쵸메")</f>
        <v>도겐자카 잇쵸메</v>
      </c>
      <c r="M119" s="3">
        <v>13113</v>
      </c>
      <c r="N119" s="4" t="s">
        <v>409</v>
      </c>
      <c r="O119" s="4" t="s">
        <v>410</v>
      </c>
      <c r="P119" s="3" t="s">
        <v>180</v>
      </c>
      <c r="Q119" s="3" t="s">
        <v>181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x14ac:dyDescent="0.2">
      <c r="A120" s="3">
        <v>202</v>
      </c>
      <c r="B120" s="3">
        <v>1</v>
      </c>
      <c r="C120" s="3" t="s">
        <v>175</v>
      </c>
      <c r="D120" s="3" t="s">
        <v>398</v>
      </c>
      <c r="E120" s="3" t="str">
        <f ca="1">IFERROR(__xludf.DUMMYFUNCTION("GOOGLETRANSLATE(J120, ""auto"", ""ko"")"),"하카타 텐진 시부야 미나미구치점")</f>
        <v>하카타 텐진 시부야 미나미구치점</v>
      </c>
      <c r="F120" s="3" t="s">
        <v>411</v>
      </c>
      <c r="G120" s="3"/>
      <c r="H120" s="3">
        <v>35.657820000000001</v>
      </c>
      <c r="I120" s="3">
        <v>139.6995</v>
      </c>
      <c r="J120" s="3" t="str">
        <f ca="1">IFERROR(__xludf.DUMMYFUNCTION("GOOGLETRANSLATE(N120, ""auto"", ""ko"")"),"도쿄도 도겐자카 잇쵸메")</f>
        <v>도쿄도 도겐자카 잇쵸메</v>
      </c>
      <c r="K120" s="3" t="str">
        <f ca="1">IFERROR(__xludf.DUMMYFUNCTION("GOOGLETRANSLATE(P120, ""auto"", ""ko"")"),"도쿄도")</f>
        <v>도쿄도</v>
      </c>
      <c r="L120" s="3" t="str">
        <f ca="1">IFERROR(__xludf.DUMMYFUNCTION("GOOGLETRANSLATE(R120, ""auto"", ""ko"")"),"도겐자카 잇쵸메")</f>
        <v>도겐자카 잇쵸메</v>
      </c>
      <c r="M120" s="3">
        <v>13113</v>
      </c>
      <c r="N120" s="4" t="s">
        <v>412</v>
      </c>
      <c r="O120" s="4" t="s">
        <v>413</v>
      </c>
      <c r="P120" s="3" t="s">
        <v>180</v>
      </c>
      <c r="Q120" s="3" t="s">
        <v>181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x14ac:dyDescent="0.2">
      <c r="A121" s="3">
        <v>203</v>
      </c>
      <c r="B121" s="3">
        <v>1</v>
      </c>
      <c r="C121" s="3" t="s">
        <v>175</v>
      </c>
      <c r="D121" s="3" t="s">
        <v>398</v>
      </c>
      <c r="E121" s="3" t="str">
        <f ca="1">IFERROR(__xludf.DUMMYFUNCTION("GOOGLETRANSLATE(J121, ""auto"", ""ko"")"),"시부야 요금소")</f>
        <v>시부야 요금소</v>
      </c>
      <c r="F121" s="3" t="s">
        <v>414</v>
      </c>
      <c r="G121" s="3"/>
      <c r="H121" s="3">
        <v>35.6557818</v>
      </c>
      <c r="I121" s="3">
        <v>139.6950531</v>
      </c>
      <c r="J121" s="3" t="str">
        <f ca="1">IFERROR(__xludf.DUMMYFUNCTION("GOOGLETRANSLATE(N121, ""auto"", ""ko"")"),"도쿄도 마루야마초")</f>
        <v>도쿄도 마루야마초</v>
      </c>
      <c r="K121" s="3" t="str">
        <f ca="1">IFERROR(__xludf.DUMMYFUNCTION("GOOGLETRANSLATE(P121, ""auto"", ""ko"")"),"도쿄도")</f>
        <v>도쿄도</v>
      </c>
      <c r="L121" s="3" t="str">
        <f ca="1">IFERROR(__xludf.DUMMYFUNCTION("GOOGLETRANSLATE(R121, ""auto"", ""ko"")"),"마루야마초")</f>
        <v>마루야마초</v>
      </c>
      <c r="M121" s="3">
        <v>13113</v>
      </c>
      <c r="N121" s="4" t="s">
        <v>415</v>
      </c>
      <c r="O121" s="4" t="s">
        <v>416</v>
      </c>
      <c r="P121" s="3" t="s">
        <v>180</v>
      </c>
      <c r="Q121" s="3" t="s">
        <v>181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x14ac:dyDescent="0.2">
      <c r="A122" s="3">
        <v>204</v>
      </c>
      <c r="B122" s="3">
        <v>1</v>
      </c>
      <c r="C122" s="3" t="s">
        <v>175</v>
      </c>
      <c r="D122" s="3" t="s">
        <v>398</v>
      </c>
      <c r="E122" s="3" t="str">
        <f ca="1">IFERROR(__xludf.DUMMYFUNCTION("GOOGLETRANSLATE(J122, ""auto"", ""ko"")"),"복권 로트하우스 시부야역 이노카시구치점")</f>
        <v>복권 로트하우스 시부야역 이노카시구치점</v>
      </c>
      <c r="F122" s="3" t="s">
        <v>417</v>
      </c>
      <c r="G122" s="3"/>
      <c r="H122" s="3">
        <v>35.659039999999997</v>
      </c>
      <c r="I122" s="3">
        <v>139.69982999999999</v>
      </c>
      <c r="J122" s="3" t="str">
        <f ca="1">IFERROR(__xludf.DUMMYFUNCTION("GOOGLETRANSLATE(N122, ""auto"", ""ko"")"),"도쿄도 도겐자카 니쵸메")</f>
        <v>도쿄도 도겐자카 니쵸메</v>
      </c>
      <c r="K122" s="3" t="str">
        <f ca="1">IFERROR(__xludf.DUMMYFUNCTION("GOOGLETRANSLATE(P122, ""auto"", ""ko"")"),"도쿄도")</f>
        <v>도쿄도</v>
      </c>
      <c r="L122" s="3" t="str">
        <f ca="1">IFERROR(__xludf.DUMMYFUNCTION("GOOGLETRANSLATE(R122, ""auto"", ""ko"")"),"도겐자카 니쵸메")</f>
        <v>도겐자카 니쵸메</v>
      </c>
      <c r="M122" s="3">
        <v>13113</v>
      </c>
      <c r="N122" s="4" t="s">
        <v>418</v>
      </c>
      <c r="O122" s="4" t="s">
        <v>419</v>
      </c>
      <c r="P122" s="3" t="s">
        <v>180</v>
      </c>
      <c r="Q122" s="3" t="s">
        <v>181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x14ac:dyDescent="0.2">
      <c r="A123" s="3">
        <v>205</v>
      </c>
      <c r="B123" s="3">
        <v>1</v>
      </c>
      <c r="C123" s="3" t="s">
        <v>175</v>
      </c>
      <c r="D123" s="3" t="s">
        <v>398</v>
      </c>
      <c r="E123" s="3" t="str">
        <f ca="1">IFERROR(__xludf.DUMMYFUNCTION("GOOGLETRANSLATE(J123, ""auto"", ""ko"")"),"시부야 스트림 홀")</f>
        <v>시부야 스트림 홀</v>
      </c>
      <c r="F123" s="3" t="s">
        <v>420</v>
      </c>
      <c r="G123" s="3"/>
      <c r="H123" s="3">
        <v>35.657310899999999</v>
      </c>
      <c r="I123" s="3">
        <v>139.70254059999999</v>
      </c>
      <c r="J123" s="3" t="str">
        <f ca="1">IFERROR(__xludf.DUMMYFUNCTION("GOOGLETRANSLATE(N123, ""auto"", ""ko"")"),"도쿄도 시부야 산쵸메")</f>
        <v>도쿄도 시부야 산쵸메</v>
      </c>
      <c r="K123" s="3" t="str">
        <f ca="1">IFERROR(__xludf.DUMMYFUNCTION("GOOGLETRANSLATE(P123, ""auto"", ""ko"")"),"도쿄도")</f>
        <v>도쿄도</v>
      </c>
      <c r="L123" s="3" t="str">
        <f ca="1">IFERROR(__xludf.DUMMYFUNCTION("GOOGLETRANSLATE(R123, ""auto"", ""ko"")"),"시부야 산쵸메")</f>
        <v>시부야 산쵸메</v>
      </c>
      <c r="M123" s="3">
        <v>13113</v>
      </c>
      <c r="N123" s="4" t="s">
        <v>421</v>
      </c>
      <c r="O123" s="4" t="s">
        <v>422</v>
      </c>
      <c r="P123" s="3" t="s">
        <v>180</v>
      </c>
      <c r="Q123" s="3" t="s">
        <v>181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x14ac:dyDescent="0.2">
      <c r="A124" s="3">
        <v>206</v>
      </c>
      <c r="B124" s="3">
        <v>1</v>
      </c>
      <c r="C124" s="3" t="s">
        <v>175</v>
      </c>
      <c r="D124" s="3" t="s">
        <v>423</v>
      </c>
      <c r="E124" s="3" t="str">
        <f ca="1">IFERROR(__xludf.DUMMYFUNCTION("GOOGLETRANSLATE(J124, ""auto"", ""ko"")"),"약 마츠모토 키요시 SHIBUYA DOGENZAKA FLAG")</f>
        <v>약 마츠모토 키요시 SHIBUYA DOGENZAKA FLAG</v>
      </c>
      <c r="F124" s="3" t="s">
        <v>424</v>
      </c>
      <c r="G124" s="3"/>
      <c r="H124" s="3">
        <v>35.659669999999998</v>
      </c>
      <c r="I124" s="3">
        <v>139.69936999999999</v>
      </c>
      <c r="J124" s="3" t="str">
        <f ca="1">IFERROR(__xludf.DUMMYFUNCTION("GOOGLETRANSLATE(N124, ""auto"", ""ko"")"),"도쿄도 우다가와초")</f>
        <v>도쿄도 우다가와초</v>
      </c>
      <c r="K124" s="3" t="str">
        <f ca="1">IFERROR(__xludf.DUMMYFUNCTION("GOOGLETRANSLATE(P124, ""auto"", ""ko"")"),"도쿄도")</f>
        <v>도쿄도</v>
      </c>
      <c r="L124" s="3" t="str">
        <f ca="1">IFERROR(__xludf.DUMMYFUNCTION("GOOGLETRANSLATE(R124, ""auto"", ""ko"")"),"우다가와초")</f>
        <v>우다가와초</v>
      </c>
      <c r="M124" s="3">
        <v>13113</v>
      </c>
      <c r="N124" s="4" t="s">
        <v>425</v>
      </c>
      <c r="O124" s="4" t="s">
        <v>426</v>
      </c>
      <c r="P124" s="3" t="s">
        <v>180</v>
      </c>
      <c r="Q124" s="3" t="s">
        <v>181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x14ac:dyDescent="0.2">
      <c r="A125" s="3">
        <v>207</v>
      </c>
      <c r="B125" s="3">
        <v>1</v>
      </c>
      <c r="C125" s="3" t="s">
        <v>175</v>
      </c>
      <c r="D125" s="3" t="s">
        <v>423</v>
      </c>
      <c r="E125" s="3" t="str">
        <f ca="1">IFERROR(__xludf.DUMMYFUNCTION("GOOGLETRANSLATE(J125, ""auto"", ""ko"")"),"시부야 스크램블 교차로")</f>
        <v>시부야 스크램블 교차로</v>
      </c>
      <c r="F125" s="3" t="s">
        <v>427</v>
      </c>
      <c r="G125" s="3"/>
      <c r="H125" s="3">
        <v>35.659529999999997</v>
      </c>
      <c r="I125" s="3">
        <v>139.70049</v>
      </c>
      <c r="J125" s="3" t="str">
        <f ca="1">IFERROR(__xludf.DUMMYFUNCTION("GOOGLETRANSLATE(N125, ""auto"", ""ko"")"),"도쿄도 도겐자카 니쵸메")</f>
        <v>도쿄도 도겐자카 니쵸메</v>
      </c>
      <c r="K125" s="3" t="str">
        <f ca="1">IFERROR(__xludf.DUMMYFUNCTION("GOOGLETRANSLATE(P125, ""auto"", ""ko"")"),"도쿄도")</f>
        <v>도쿄도</v>
      </c>
      <c r="L125" s="3" t="str">
        <f ca="1">IFERROR(__xludf.DUMMYFUNCTION("GOOGLETRANSLATE(R125, ""auto"", ""ko"")"),"도겐자카 니쵸메")</f>
        <v>도겐자카 니쵸메</v>
      </c>
      <c r="M125" s="3">
        <v>13113</v>
      </c>
      <c r="N125" s="4" t="s">
        <v>428</v>
      </c>
      <c r="O125" s="4" t="s">
        <v>429</v>
      </c>
      <c r="P125" s="3" t="s">
        <v>180</v>
      </c>
      <c r="Q125" s="3" t="s">
        <v>181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x14ac:dyDescent="0.2">
      <c r="A126" s="3">
        <v>208</v>
      </c>
      <c r="B126" s="3">
        <v>1</v>
      </c>
      <c r="C126" s="3" t="s">
        <v>175</v>
      </c>
      <c r="D126" s="3" t="s">
        <v>423</v>
      </c>
      <c r="E126" s="3" t="str">
        <f ca="1">IFERROR(__xludf.DUMMYFUNCTION("GOOGLETRANSLATE(J126, ""auto"", ""ko"")"),"패밀리마트 시부야 109앞점")</f>
        <v>패밀리마트 시부야 109앞점</v>
      </c>
      <c r="F126" s="3" t="s">
        <v>430</v>
      </c>
      <c r="G126" s="3"/>
      <c r="H126" s="3">
        <v>35.659829999999999</v>
      </c>
      <c r="I126" s="3">
        <v>139.69878</v>
      </c>
      <c r="J126" s="3" t="str">
        <f ca="1">IFERROR(__xludf.DUMMYFUNCTION("GOOGLETRANSLATE(N126, ""auto"", ""ko"")"),"도쿄도 도겐자카 니쵸메")</f>
        <v>도쿄도 도겐자카 니쵸메</v>
      </c>
      <c r="K126" s="3" t="str">
        <f ca="1">IFERROR(__xludf.DUMMYFUNCTION("GOOGLETRANSLATE(P126, ""auto"", ""ko"")"),"도쿄도")</f>
        <v>도쿄도</v>
      </c>
      <c r="L126" s="3" t="str">
        <f ca="1">IFERROR(__xludf.DUMMYFUNCTION("GOOGLETRANSLATE(R126, ""auto"", ""ko"")"),"도겐자카 니쵸메")</f>
        <v>도겐자카 니쵸메</v>
      </c>
      <c r="M126" s="3">
        <v>13113</v>
      </c>
      <c r="N126" s="4" t="s">
        <v>431</v>
      </c>
      <c r="O126" s="4" t="s">
        <v>432</v>
      </c>
      <c r="P126" s="3" t="s">
        <v>180</v>
      </c>
      <c r="Q126" s="3" t="s">
        <v>181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x14ac:dyDescent="0.2">
      <c r="A127" s="3">
        <v>209</v>
      </c>
      <c r="B127" s="3">
        <v>1</v>
      </c>
      <c r="C127" s="3" t="s">
        <v>175</v>
      </c>
      <c r="D127" s="3" t="s">
        <v>433</v>
      </c>
      <c r="E127" s="3" t="str">
        <f ca="1">IFERROR(__xludf.DUMMYFUNCTION("GOOGLETRANSLATE(J127, ""auto"", ""ko"")"),"하치 공 개찰")</f>
        <v>하치 공 개찰</v>
      </c>
      <c r="F127" s="3" t="s">
        <v>434</v>
      </c>
      <c r="G127" s="3" t="s">
        <v>435</v>
      </c>
      <c r="H127" s="3">
        <v>35.659551299999997</v>
      </c>
      <c r="I127" s="3">
        <v>139.7002689</v>
      </c>
      <c r="J127" s="3" t="str">
        <f ca="1">IFERROR(__xludf.DUMMYFUNCTION("GOOGLETRANSLATE(N127, ""auto"", ""ko"")"),"도쿄도 도겐자카 니쵸메")</f>
        <v>도쿄도 도겐자카 니쵸메</v>
      </c>
      <c r="K127" s="3" t="str">
        <f ca="1">IFERROR(__xludf.DUMMYFUNCTION("GOOGLETRANSLATE(P127, ""auto"", ""ko"")"),"도쿄도")</f>
        <v>도쿄도</v>
      </c>
      <c r="L127" s="3" t="str">
        <f ca="1">IFERROR(__xludf.DUMMYFUNCTION("GOOGLETRANSLATE(R127, ""auto"", ""ko"")"),"도겐자카 니쵸메")</f>
        <v>도겐자카 니쵸메</v>
      </c>
      <c r="M127" s="3">
        <v>13113</v>
      </c>
      <c r="N127" s="4" t="s">
        <v>436</v>
      </c>
      <c r="O127" s="4" t="s">
        <v>437</v>
      </c>
      <c r="P127" s="3" t="s">
        <v>180</v>
      </c>
      <c r="Q127" s="3" t="s">
        <v>181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2">
      <c r="A128" s="3">
        <v>210</v>
      </c>
      <c r="B128" s="3">
        <v>1</v>
      </c>
      <c r="C128" s="3" t="s">
        <v>175</v>
      </c>
      <c r="D128" s="3" t="s">
        <v>433</v>
      </c>
      <c r="E128" s="3" t="str">
        <f ca="1">IFERROR(__xludf.DUMMYFUNCTION("GOOGLETRANSLATE(J128, ""auto"", ""ko"")"),"도겐자카 개찰 B2F")</f>
        <v>도겐자카 개찰 B2F</v>
      </c>
      <c r="F128" s="3" t="s">
        <v>438</v>
      </c>
      <c r="G128" s="3"/>
      <c r="H128" s="3">
        <v>35.659489999999998</v>
      </c>
      <c r="I128" s="3">
        <v>139.69959</v>
      </c>
      <c r="J128" s="3" t="str">
        <f ca="1">IFERROR(__xludf.DUMMYFUNCTION("GOOGLETRANSLATE(N128, ""auto"", ""ko"")"),"도쿄도 도겐자카 니쵸메")</f>
        <v>도쿄도 도겐자카 니쵸메</v>
      </c>
      <c r="K128" s="3" t="str">
        <f ca="1">IFERROR(__xludf.DUMMYFUNCTION("GOOGLETRANSLATE(P128, ""auto"", ""ko"")"),"도쿄도")</f>
        <v>도쿄도</v>
      </c>
      <c r="L128" s="3" t="str">
        <f ca="1">IFERROR(__xludf.DUMMYFUNCTION("GOOGLETRANSLATE(R128, ""auto"", ""ko"")"),"도겐자카 니쵸메")</f>
        <v>도겐자카 니쵸메</v>
      </c>
      <c r="M128" s="3">
        <v>13113</v>
      </c>
      <c r="N128" s="4" t="s">
        <v>439</v>
      </c>
      <c r="O128" s="4" t="s">
        <v>440</v>
      </c>
      <c r="P128" s="3" t="s">
        <v>180</v>
      </c>
      <c r="Q128" s="3" t="s">
        <v>181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x14ac:dyDescent="0.2">
      <c r="A129" s="3">
        <v>211</v>
      </c>
      <c r="B129" s="3">
        <v>1</v>
      </c>
      <c r="C129" s="3" t="s">
        <v>175</v>
      </c>
      <c r="D129" s="3" t="s">
        <v>433</v>
      </c>
      <c r="E129" s="3" t="str">
        <f ca="1">IFERROR(__xludf.DUMMYFUNCTION("GOOGLETRANSLATE(J129, ""auto"", ""ko"")"),"B4F 미야마스자카히가시 개찰 부근")</f>
        <v>B4F 미야마스자카히가시 개찰 부근</v>
      </c>
      <c r="F129" s="3" t="s">
        <v>441</v>
      </c>
      <c r="G129" s="3"/>
      <c r="H129" s="3">
        <v>35.659994900000001</v>
      </c>
      <c r="I129" s="3">
        <v>139.7022886</v>
      </c>
      <c r="J129" s="3" t="str">
        <f ca="1">IFERROR(__xludf.DUMMYFUNCTION("GOOGLETRANSLATE(N129, ""auto"", ""ko"")"),"도쿄도 시부야 잇쵸메")</f>
        <v>도쿄도 시부야 잇쵸메</v>
      </c>
      <c r="K129" s="3" t="str">
        <f ca="1">IFERROR(__xludf.DUMMYFUNCTION("GOOGLETRANSLATE(P129, ""auto"", ""ko"")"),"도쿄도")</f>
        <v>도쿄도</v>
      </c>
      <c r="L129" s="3" t="str">
        <f ca="1">IFERROR(__xludf.DUMMYFUNCTION("GOOGLETRANSLATE(R129, ""auto"", ""ko"")"),"시부야 잇쵸메")</f>
        <v>시부야 잇쵸메</v>
      </c>
      <c r="M129" s="3">
        <v>13113</v>
      </c>
      <c r="N129" s="4" t="s">
        <v>442</v>
      </c>
      <c r="O129" s="4" t="s">
        <v>443</v>
      </c>
      <c r="P129" s="3" t="s">
        <v>180</v>
      </c>
      <c r="Q129" s="3" t="s">
        <v>181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x14ac:dyDescent="0.2">
      <c r="A130" s="3">
        <v>212</v>
      </c>
      <c r="B130" s="3">
        <v>1</v>
      </c>
      <c r="C130" s="3" t="s">
        <v>175</v>
      </c>
      <c r="D130" s="3" t="s">
        <v>433</v>
      </c>
      <c r="E130" s="3" t="str">
        <f ca="1">IFERROR(__xludf.DUMMYFUNCTION("GOOGLETRANSLATE(J130, ""auto"", ""ko"")"),"야키니쿠 벌써 벌써 시부야 점")</f>
        <v>야키니쿠 벌써 벌써 시부야 점</v>
      </c>
      <c r="F130" s="3" t="s">
        <v>444</v>
      </c>
      <c r="G130" s="3" t="s">
        <v>445</v>
      </c>
      <c r="H130" s="3">
        <v>35.659779999999998</v>
      </c>
      <c r="I130" s="3">
        <v>139.69775000000001</v>
      </c>
      <c r="J130" s="3" t="str">
        <f ca="1">IFERROR(__xludf.DUMMYFUNCTION("GOOGLETRANSLATE(N130, ""auto"", ""ko"")"),"도쿄도 도겐자카 니쵸메")</f>
        <v>도쿄도 도겐자카 니쵸메</v>
      </c>
      <c r="K130" s="3" t="str">
        <f ca="1">IFERROR(__xludf.DUMMYFUNCTION("GOOGLETRANSLATE(P130, ""auto"", ""ko"")"),"도쿄도")</f>
        <v>도쿄도</v>
      </c>
      <c r="L130" s="3" t="str">
        <f ca="1">IFERROR(__xludf.DUMMYFUNCTION("GOOGLETRANSLATE(R130, ""auto"", ""ko"")"),"도겐자카 니쵸메")</f>
        <v>도겐자카 니쵸메</v>
      </c>
      <c r="M130" s="3">
        <v>13113</v>
      </c>
      <c r="N130" s="4" t="s">
        <v>446</v>
      </c>
      <c r="O130" s="4" t="s">
        <v>447</v>
      </c>
      <c r="P130" s="3" t="s">
        <v>180</v>
      </c>
      <c r="Q130" s="3" t="s">
        <v>181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x14ac:dyDescent="0.2">
      <c r="A131" s="3">
        <v>213</v>
      </c>
      <c r="B131" s="3">
        <v>1</v>
      </c>
      <c r="C131" s="3" t="s">
        <v>175</v>
      </c>
      <c r="D131" s="3" t="s">
        <v>448</v>
      </c>
      <c r="E131" s="3" t="str">
        <f ca="1">IFERROR(__xludf.DUMMYFUNCTION("GOOGLETRANSLATE(J131, ""auto"", ""ko"")"),"스타벅스 커피 시부야 문화 무라도리점")</f>
        <v>스타벅스 커피 시부야 문화 무라도리점</v>
      </c>
      <c r="F131" s="3" t="s">
        <v>449</v>
      </c>
      <c r="G131" s="3"/>
      <c r="H131" s="3">
        <v>35.66037</v>
      </c>
      <c r="I131" s="3">
        <v>139.69666000000001</v>
      </c>
      <c r="J131" s="3" t="str">
        <f ca="1">IFERROR(__xludf.DUMMYFUNCTION("GOOGLETRANSLATE(N131, ""auto"", ""ko"")"),"도쿄도 도겐자카 니쵸메")</f>
        <v>도쿄도 도겐자카 니쵸메</v>
      </c>
      <c r="K131" s="3" t="str">
        <f ca="1">IFERROR(__xludf.DUMMYFUNCTION("GOOGLETRANSLATE(P131, ""auto"", ""ko"")"),"도쿄도")</f>
        <v>도쿄도</v>
      </c>
      <c r="L131" s="3" t="str">
        <f ca="1">IFERROR(__xludf.DUMMYFUNCTION("GOOGLETRANSLATE(R131, ""auto"", ""ko"")"),"도겐자카 니쵸메")</f>
        <v>도겐자카 니쵸메</v>
      </c>
      <c r="M131" s="3">
        <v>13113</v>
      </c>
      <c r="N131" s="4" t="s">
        <v>450</v>
      </c>
      <c r="O131" s="4" t="s">
        <v>451</v>
      </c>
      <c r="P131" s="3" t="s">
        <v>180</v>
      </c>
      <c r="Q131" s="3" t="s">
        <v>181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2">
      <c r="A132" s="3">
        <v>214</v>
      </c>
      <c r="B132" s="3">
        <v>1</v>
      </c>
      <c r="C132" s="3" t="s">
        <v>175</v>
      </c>
      <c r="D132" s="3" t="s">
        <v>448</v>
      </c>
      <c r="E132" s="3" t="str">
        <f ca="1">IFERROR(__xludf.DUMMYFUNCTION("GOOGLETRANSLATE(J132, ""auto"", ""ko"")"),"B1F 분카무라 스트리트 3a번 출구")</f>
        <v>B1F 분카무라 스트리트 3a번 출구</v>
      </c>
      <c r="F132" s="3" t="s">
        <v>452</v>
      </c>
      <c r="G132" s="3"/>
      <c r="H132" s="3">
        <v>35.659550000000003</v>
      </c>
      <c r="I132" s="3">
        <v>139.69929999999999</v>
      </c>
      <c r="J132" s="3" t="str">
        <f ca="1">IFERROR(__xludf.DUMMYFUNCTION("GOOGLETRANSLATE(N132, ""auto"", ""ko"")"),"도쿄도 도겐자카 니쵸메")</f>
        <v>도쿄도 도겐자카 니쵸메</v>
      </c>
      <c r="K132" s="3" t="str">
        <f ca="1">IFERROR(__xludf.DUMMYFUNCTION("GOOGLETRANSLATE(P132, ""auto"", ""ko"")"),"도쿄도")</f>
        <v>도쿄도</v>
      </c>
      <c r="L132" s="3" t="str">
        <f ca="1">IFERROR(__xludf.DUMMYFUNCTION("GOOGLETRANSLATE(R132, ""auto"", ""ko"")"),"도겐자카 니쵸메")</f>
        <v>도겐자카 니쵸메</v>
      </c>
      <c r="M132" s="3">
        <v>13113</v>
      </c>
      <c r="N132" s="4" t="s">
        <v>453</v>
      </c>
      <c r="O132" s="4" t="s">
        <v>454</v>
      </c>
      <c r="P132" s="3" t="s">
        <v>180</v>
      </c>
      <c r="Q132" s="3" t="s">
        <v>181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2">
      <c r="A133" s="3">
        <v>215</v>
      </c>
      <c r="B133" s="3">
        <v>1</v>
      </c>
      <c r="C133" s="3" t="s">
        <v>175</v>
      </c>
      <c r="D133" s="3" t="s">
        <v>448</v>
      </c>
      <c r="E133" s="3" t="str">
        <f ca="1">IFERROR(__xludf.DUMMYFUNCTION("GOOGLETRANSLATE(J133, ""auto"", ""ko"")"),"유니클로 시부야도 겐자카점")</f>
        <v>유니클로 시부야도 겐자카점</v>
      </c>
      <c r="F133" s="3" t="s">
        <v>455</v>
      </c>
      <c r="G133" s="3"/>
      <c r="H133" s="3">
        <v>35.659269700000003</v>
      </c>
      <c r="I133" s="3">
        <v>139.69864949999999</v>
      </c>
      <c r="J133" s="3" t="str">
        <f ca="1">IFERROR(__xludf.DUMMYFUNCTION("GOOGLETRANSLATE(N133, ""auto"", ""ko"")"),"도쿄도 도겐자카 니쵸메")</f>
        <v>도쿄도 도겐자카 니쵸메</v>
      </c>
      <c r="K133" s="3" t="str">
        <f ca="1">IFERROR(__xludf.DUMMYFUNCTION("GOOGLETRANSLATE(P133, ""auto"", ""ko"")"),"도쿄도")</f>
        <v>도쿄도</v>
      </c>
      <c r="L133" s="3" t="str">
        <f ca="1">IFERROR(__xludf.DUMMYFUNCTION("GOOGLETRANSLATE(R133, ""auto"", ""ko"")"),"도겐자카 니쵸메")</f>
        <v>도겐자카 니쵸메</v>
      </c>
      <c r="M133" s="3">
        <v>13113</v>
      </c>
      <c r="N133" s="4" t="s">
        <v>456</v>
      </c>
      <c r="O133" s="4" t="s">
        <v>457</v>
      </c>
      <c r="P133" s="3" t="s">
        <v>180</v>
      </c>
      <c r="Q133" s="3" t="s">
        <v>181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2">
      <c r="A134" s="3">
        <v>216</v>
      </c>
      <c r="B134" s="3">
        <v>1</v>
      </c>
      <c r="C134" s="3" t="s">
        <v>175</v>
      </c>
      <c r="D134" s="3" t="s">
        <v>448</v>
      </c>
      <c r="E134" s="3" t="str">
        <f ca="1">IFERROR(__xludf.DUMMYFUNCTION("GOOGLETRANSLATE(J134, ""auto"", ""ko"")"),"B1F 프라임 출구 1")</f>
        <v>B1F 프라임 출구 1</v>
      </c>
      <c r="F134" s="3" t="s">
        <v>458</v>
      </c>
      <c r="G134" s="3"/>
      <c r="H134" s="3">
        <v>35.659336699999997</v>
      </c>
      <c r="I134" s="3">
        <v>139.69873150000001</v>
      </c>
      <c r="J134" s="3" t="str">
        <f ca="1">IFERROR(__xludf.DUMMYFUNCTION("GOOGLETRANSLATE(N134, ""auto"", ""ko"")"),"도쿄도 도겐자카 니쵸메")</f>
        <v>도쿄도 도겐자카 니쵸메</v>
      </c>
      <c r="K134" s="3" t="str">
        <f ca="1">IFERROR(__xludf.DUMMYFUNCTION("GOOGLETRANSLATE(P134, ""auto"", ""ko"")"),"도쿄도")</f>
        <v>도쿄도</v>
      </c>
      <c r="L134" s="3" t="str">
        <f ca="1">IFERROR(__xludf.DUMMYFUNCTION("GOOGLETRANSLATE(R134, ""auto"", ""ko"")"),"도겐자카 니쵸메")</f>
        <v>도겐자카 니쵸메</v>
      </c>
      <c r="M134" s="3">
        <v>13113</v>
      </c>
      <c r="N134" s="4" t="s">
        <v>459</v>
      </c>
      <c r="O134" s="4" t="s">
        <v>460</v>
      </c>
      <c r="P134" s="3" t="s">
        <v>180</v>
      </c>
      <c r="Q134" s="3" t="s">
        <v>181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2">
      <c r="A135" s="3">
        <v>217</v>
      </c>
      <c r="B135" s="3">
        <v>1</v>
      </c>
      <c r="C135" s="3" t="s">
        <v>175</v>
      </c>
      <c r="D135" s="3" t="s">
        <v>461</v>
      </c>
      <c r="E135" s="3" t="str">
        <f ca="1">IFERROR(__xludf.DUMMYFUNCTION("GOOGLETRANSLATE(J135, ""auto"", ""ko"")"),"B2F 문화촌 거리 3a 출구")</f>
        <v>B2F 문화촌 거리 3a 출구</v>
      </c>
      <c r="F135" s="3" t="s">
        <v>462</v>
      </c>
      <c r="G135" s="3"/>
      <c r="H135" s="3">
        <v>35.659579999999998</v>
      </c>
      <c r="I135" s="3">
        <v>139.69918999999999</v>
      </c>
      <c r="J135" s="3" t="str">
        <f ca="1">IFERROR(__xludf.DUMMYFUNCTION("GOOGLETRANSLATE(N135, ""auto"", ""ko"")"),"도쿄도 도겐자카 니쵸메")</f>
        <v>도쿄도 도겐자카 니쵸메</v>
      </c>
      <c r="K135" s="3" t="str">
        <f ca="1">IFERROR(__xludf.DUMMYFUNCTION("GOOGLETRANSLATE(P135, ""auto"", ""ko"")"),"도쿄도")</f>
        <v>도쿄도</v>
      </c>
      <c r="L135" s="3" t="str">
        <f ca="1">IFERROR(__xludf.DUMMYFUNCTION("GOOGLETRANSLATE(R135, ""auto"", ""ko"")"),"도겐자카 니쵸메")</f>
        <v>도겐자카 니쵸메</v>
      </c>
      <c r="M135" s="3">
        <v>13113</v>
      </c>
      <c r="N135" s="4" t="s">
        <v>463</v>
      </c>
      <c r="O135" s="4" t="s">
        <v>464</v>
      </c>
      <c r="P135" s="3" t="s">
        <v>180</v>
      </c>
      <c r="Q135" s="3" t="s">
        <v>181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2">
      <c r="A136" s="3">
        <v>218</v>
      </c>
      <c r="B136" s="3">
        <v>1</v>
      </c>
      <c r="C136" s="3" t="s">
        <v>175</v>
      </c>
      <c r="D136" s="3" t="s">
        <v>461</v>
      </c>
      <c r="E136" s="3" t="str">
        <f ca="1">IFERROR(__xludf.DUMMYFUNCTION("GOOGLETRANSLATE(J136, ""auto"", ""ko"")"),"시부야역 시골도시선 1번선")</f>
        <v>시부야역 시골도시선 1번선</v>
      </c>
      <c r="F136" s="3" t="s">
        <v>465</v>
      </c>
      <c r="G136" s="3"/>
      <c r="H136" s="3">
        <v>35.659450700000001</v>
      </c>
      <c r="I136" s="3">
        <v>139.70032430000001</v>
      </c>
      <c r="J136" s="3" t="str">
        <f ca="1">IFERROR(__xludf.DUMMYFUNCTION("GOOGLETRANSLATE(N136, ""auto"", ""ko"")"),"도쿄도 도겐자카 니쵸메")</f>
        <v>도쿄도 도겐자카 니쵸메</v>
      </c>
      <c r="K136" s="3" t="str">
        <f ca="1">IFERROR(__xludf.DUMMYFUNCTION("GOOGLETRANSLATE(P136, ""auto"", ""ko"")"),"도쿄도")</f>
        <v>도쿄도</v>
      </c>
      <c r="L136" s="3" t="str">
        <f ca="1">IFERROR(__xludf.DUMMYFUNCTION("GOOGLETRANSLATE(R136, ""auto"", ""ko"")"),"도겐자카 니쵸메")</f>
        <v>도겐자카 니쵸메</v>
      </c>
      <c r="M136" s="3">
        <v>13113</v>
      </c>
      <c r="N136" s="4" t="s">
        <v>466</v>
      </c>
      <c r="O136" s="4" t="s">
        <v>467</v>
      </c>
      <c r="P136" s="3" t="s">
        <v>180</v>
      </c>
      <c r="Q136" s="3" t="s">
        <v>181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2">
      <c r="A137" s="3">
        <v>219</v>
      </c>
      <c r="B137" s="3">
        <v>1</v>
      </c>
      <c r="C137" s="3" t="s">
        <v>175</v>
      </c>
      <c r="D137" s="3" t="s">
        <v>468</v>
      </c>
      <c r="E137" s="3" t="str">
        <f ca="1">IFERROR(__xludf.DUMMYFUNCTION("GOOGLETRANSLATE(J137, ""auto"", ""ko"")"),"서티원 아이스크림 시부야점")</f>
        <v>서티원 아이스크림 시부야점</v>
      </c>
      <c r="F137" s="3" t="s">
        <v>469</v>
      </c>
      <c r="G137" s="3" t="s">
        <v>470</v>
      </c>
      <c r="H137" s="3">
        <v>35.659770000000002</v>
      </c>
      <c r="I137" s="3">
        <v>139.69891999999999</v>
      </c>
      <c r="J137" s="3" t="str">
        <f ca="1">IFERROR(__xludf.DUMMYFUNCTION("GOOGLETRANSLATE(N137, ""auto"", ""ko"")"),"도쿄도 도겐자카 니쵸메")</f>
        <v>도쿄도 도겐자카 니쵸메</v>
      </c>
      <c r="K137" s="3" t="str">
        <f ca="1">IFERROR(__xludf.DUMMYFUNCTION("GOOGLETRANSLATE(P137, ""auto"", ""ko"")"),"도쿄도")</f>
        <v>도쿄도</v>
      </c>
      <c r="L137" s="3" t="str">
        <f ca="1">IFERROR(__xludf.DUMMYFUNCTION("GOOGLETRANSLATE(R137, ""auto"", ""ko"")"),"도겐자카 니쵸메")</f>
        <v>도겐자카 니쵸메</v>
      </c>
      <c r="M137" s="3">
        <v>13113</v>
      </c>
      <c r="N137" s="4" t="s">
        <v>471</v>
      </c>
      <c r="O137" s="4" t="s">
        <v>472</v>
      </c>
      <c r="P137" s="3" t="s">
        <v>180</v>
      </c>
      <c r="Q137" s="3" t="s">
        <v>181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2">
      <c r="A138" s="3">
        <v>220</v>
      </c>
      <c r="B138" s="3">
        <v>1</v>
      </c>
      <c r="C138" s="3" t="s">
        <v>175</v>
      </c>
      <c r="D138" s="3" t="s">
        <v>473</v>
      </c>
      <c r="E138" s="3" t="str">
        <f ca="1">IFERROR(__xludf.DUMMYFUNCTION("GOOGLETRANSLATE(J138, ""auto"", ""ko"")"),"B3F 시골 도시선 홈")</f>
        <v>B3F 시골 도시선 홈</v>
      </c>
      <c r="F138" s="3" t="s">
        <v>474</v>
      </c>
      <c r="G138" s="3"/>
      <c r="H138" s="3">
        <v>35.659460000000003</v>
      </c>
      <c r="I138" s="3">
        <v>139.70101</v>
      </c>
      <c r="J138" s="3" t="str">
        <f ca="1">IFERROR(__xludf.DUMMYFUNCTION("GOOGLETRANSLATE(N138, ""auto"", ""ko"")"),"도쿄도 도겐자카 니쵸메")</f>
        <v>도쿄도 도겐자카 니쵸메</v>
      </c>
      <c r="K138" s="3" t="str">
        <f ca="1">IFERROR(__xludf.DUMMYFUNCTION("GOOGLETRANSLATE(P138, ""auto"", ""ko"")"),"도쿄도")</f>
        <v>도쿄도</v>
      </c>
      <c r="L138" s="3" t="str">
        <f ca="1">IFERROR(__xludf.DUMMYFUNCTION("GOOGLETRANSLATE(R138, ""auto"", ""ko"")"),"도겐자카 니쵸메")</f>
        <v>도겐자카 니쵸메</v>
      </c>
      <c r="M138" s="3">
        <v>13113</v>
      </c>
      <c r="N138" s="4" t="s">
        <v>475</v>
      </c>
      <c r="O138" s="4" t="s">
        <v>476</v>
      </c>
      <c r="P138" s="3" t="s">
        <v>180</v>
      </c>
      <c r="Q138" s="3" t="s">
        <v>181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2">
      <c r="A139" s="3">
        <v>221</v>
      </c>
      <c r="B139" s="3">
        <v>1</v>
      </c>
      <c r="C139" s="3" t="s">
        <v>175</v>
      </c>
      <c r="D139" s="3" t="s">
        <v>267</v>
      </c>
      <c r="E139" s="3" t="str">
        <f ca="1">IFERROR(__xludf.DUMMYFUNCTION("GOOGLETRANSLATE(J139, ""auto"", ""ko"")"),"패밀리마트 긴자기사오마치도오리점")</f>
        <v>패밀리마트 긴자기사오마치도오리점</v>
      </c>
      <c r="F139" s="3" t="s">
        <v>477</v>
      </c>
      <c r="G139" s="3"/>
      <c r="H139" s="3">
        <v>35.668750000000003</v>
      </c>
      <c r="I139" s="3">
        <v>139.76760999999999</v>
      </c>
      <c r="J139" s="3" t="str">
        <f ca="1">IFERROR(__xludf.DUMMYFUNCTION("GOOGLETRANSLATE(N139, ""auto"", ""ko"")"),"도쿄도 긴자 고쵸메")</f>
        <v>도쿄도 긴자 고쵸메</v>
      </c>
      <c r="K139" s="3" t="str">
        <f ca="1">IFERROR(__xludf.DUMMYFUNCTION("GOOGLETRANSLATE(P139, ""auto"", ""ko"")"),"도쿄도")</f>
        <v>도쿄도</v>
      </c>
      <c r="L139" s="3" t="str">
        <f ca="1">IFERROR(__xludf.DUMMYFUNCTION("GOOGLETRANSLATE(R139, ""auto"", ""ko"")"),"긴자 고쵸메")</f>
        <v>긴자 고쵸메</v>
      </c>
      <c r="M139" s="3">
        <v>13102</v>
      </c>
      <c r="N139" s="4" t="s">
        <v>478</v>
      </c>
      <c r="O139" s="4" t="s">
        <v>479</v>
      </c>
      <c r="P139" s="3" t="s">
        <v>180</v>
      </c>
      <c r="Q139" s="3" t="s">
        <v>181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2">
      <c r="A140" s="3">
        <v>222</v>
      </c>
      <c r="B140" s="3">
        <v>1</v>
      </c>
      <c r="C140" s="3" t="s">
        <v>175</v>
      </c>
      <c r="D140" s="3" t="s">
        <v>267</v>
      </c>
      <c r="E140" s="3" t="str">
        <f ca="1">IFERROR(__xludf.DUMMYFUNCTION("GOOGLETRANSLATE(J140, ""auto"", ""ko"")"),"이이다바시역")</f>
        <v>이이다바시역</v>
      </c>
      <c r="F140" s="3" t="s">
        <v>480</v>
      </c>
      <c r="G140" s="3"/>
      <c r="H140" s="3">
        <v>35.700009999999999</v>
      </c>
      <c r="I140" s="3">
        <v>139.74356</v>
      </c>
      <c r="J140" s="3" t="str">
        <f ca="1">IFERROR(__xludf.DUMMYFUNCTION("GOOGLETRANSLATE(N140, ""auto"", ""ko"")"),"도쿄도 후지미 니쵸메")</f>
        <v>도쿄도 후지미 니쵸메</v>
      </c>
      <c r="K140" s="3" t="str">
        <f ca="1">IFERROR(__xludf.DUMMYFUNCTION("GOOGLETRANSLATE(P140, ""auto"", ""ko"")"),"도쿄도")</f>
        <v>도쿄도</v>
      </c>
      <c r="L140" s="3" t="str">
        <f ca="1">IFERROR(__xludf.DUMMYFUNCTION("GOOGLETRANSLATE(R140, ""auto"", ""ko"")"),"후지미 니쵸메")</f>
        <v>후지미 니쵸메</v>
      </c>
      <c r="M140" s="3">
        <v>13101</v>
      </c>
      <c r="N140" s="4" t="s">
        <v>481</v>
      </c>
      <c r="O140" s="4" t="s">
        <v>482</v>
      </c>
      <c r="P140" s="3" t="s">
        <v>180</v>
      </c>
      <c r="Q140" s="3" t="s">
        <v>181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2">
      <c r="A141" s="3">
        <v>223</v>
      </c>
      <c r="B141" s="3">
        <v>1</v>
      </c>
      <c r="C141" s="3" t="s">
        <v>175</v>
      </c>
      <c r="D141" s="3" t="s">
        <v>267</v>
      </c>
      <c r="E141" s="3" t="str">
        <f ca="1">IFERROR(__xludf.DUMMYFUNCTION("GOOGLETRANSLATE(J141, ""auto"", ""ko"")"),"불대교")</f>
        <v>불대교</v>
      </c>
      <c r="F141" s="3" t="s">
        <v>483</v>
      </c>
      <c r="G141" s="3"/>
      <c r="H141" s="3">
        <v>35.667769999999997</v>
      </c>
      <c r="I141" s="3">
        <v>139.78113999999999</v>
      </c>
      <c r="J141" s="3" t="str">
        <f ca="1">IFERROR(__xludf.DUMMYFUNCTION("GOOGLETRANSLATE(N141, ""auto"", ""ko"")"),"도쿄도 츠키시마 잇쵸메")</f>
        <v>도쿄도 츠키시마 잇쵸메</v>
      </c>
      <c r="K141" s="3" t="str">
        <f ca="1">IFERROR(__xludf.DUMMYFUNCTION("GOOGLETRANSLATE(P141, ""auto"", ""ko"")"),"도쿄도")</f>
        <v>도쿄도</v>
      </c>
      <c r="L141" s="3" t="str">
        <f ca="1">IFERROR(__xludf.DUMMYFUNCTION("GOOGLETRANSLATE(R141, ""auto"", ""ko"")"),"츠키시마 잇쵸메")</f>
        <v>츠키시마 잇쵸메</v>
      </c>
      <c r="M141" s="3">
        <v>13102</v>
      </c>
      <c r="N141" s="4" t="s">
        <v>484</v>
      </c>
      <c r="O141" s="4" t="s">
        <v>485</v>
      </c>
      <c r="P141" s="3" t="s">
        <v>180</v>
      </c>
      <c r="Q141" s="3" t="s">
        <v>181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2">
      <c r="A142" s="3">
        <v>224</v>
      </c>
      <c r="B142" s="3">
        <v>1</v>
      </c>
      <c r="C142" s="3" t="s">
        <v>175</v>
      </c>
      <c r="D142" s="3"/>
      <c r="E142" s="3" t="str">
        <f ca="1">IFERROR(__xludf.DUMMYFUNCTION("GOOGLETRANSLATE(J142, ""auto"", ""ko"")"),"신주쿠 산책로 공원(사계의 길)")</f>
        <v>신주쿠 산책로 공원(사계의 길)</v>
      </c>
      <c r="F142" s="3" t="s">
        <v>486</v>
      </c>
      <c r="G142" s="3"/>
      <c r="H142" s="3">
        <v>35.693826600000001</v>
      </c>
      <c r="I142" s="3">
        <v>139.7042314</v>
      </c>
      <c r="J142" s="3" t="str">
        <f ca="1">IFERROR(__xludf.DUMMYFUNCTION("GOOGLETRANSLATE(N142, ""auto"", ""ko"")"),"도쿄도 가부키초 잇쵸메")</f>
        <v>도쿄도 가부키초 잇쵸메</v>
      </c>
      <c r="K142" s="3" t="str">
        <f ca="1">IFERROR(__xludf.DUMMYFUNCTION("GOOGLETRANSLATE(P142, ""auto"", ""ko"")"),"도쿄도")</f>
        <v>도쿄도</v>
      </c>
      <c r="L142" s="3" t="str">
        <f ca="1">IFERROR(__xludf.DUMMYFUNCTION("GOOGLETRANSLATE(R142, ""auto"", ""ko"")"),"가부키초 잇쵸메")</f>
        <v>가부키초 잇쵸메</v>
      </c>
      <c r="M142" s="3">
        <v>13104</v>
      </c>
      <c r="N142" s="4" t="s">
        <v>487</v>
      </c>
      <c r="O142" s="4" t="s">
        <v>488</v>
      </c>
      <c r="P142" s="3" t="s">
        <v>180</v>
      </c>
      <c r="Q142" s="3" t="s">
        <v>181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2">
      <c r="A143" s="3">
        <v>225</v>
      </c>
      <c r="B143" s="3">
        <v>1</v>
      </c>
      <c r="C143" s="3" t="s">
        <v>175</v>
      </c>
      <c r="D143" s="3"/>
      <c r="E143" s="3" t="str">
        <f ca="1">IFERROR(__xludf.DUMMYFUNCTION("GOOGLETRANSLATE(J143, ""auto"", ""ko"")"),"신주쿠 피카딜리 부근")</f>
        <v>신주쿠 피카딜리 부근</v>
      </c>
      <c r="F143" s="3" t="s">
        <v>489</v>
      </c>
      <c r="G143" s="3"/>
      <c r="H143" s="3">
        <v>35.6927393</v>
      </c>
      <c r="I143" s="3">
        <v>139.70476919999999</v>
      </c>
      <c r="J143" s="3" t="str">
        <f ca="1">IFERROR(__xludf.DUMMYFUNCTION("GOOGLETRANSLATE(N143, ""auto"", ""ko"")"),"도쿄도 신주쿠 고쵸메")</f>
        <v>도쿄도 신주쿠 고쵸메</v>
      </c>
      <c r="K143" s="3" t="str">
        <f ca="1">IFERROR(__xludf.DUMMYFUNCTION("GOOGLETRANSLATE(P143, ""auto"", ""ko"")"),"도쿄도")</f>
        <v>도쿄도</v>
      </c>
      <c r="L143" s="3" t="str">
        <f ca="1">IFERROR(__xludf.DUMMYFUNCTION("GOOGLETRANSLATE(R143, ""auto"", ""ko"")"),"신주쿠 고쵸메")</f>
        <v>신주쿠 고쵸메</v>
      </c>
      <c r="M143" s="3">
        <v>13104</v>
      </c>
      <c r="N143" s="4" t="s">
        <v>490</v>
      </c>
      <c r="O143" s="4" t="s">
        <v>491</v>
      </c>
      <c r="P143" s="3" t="s">
        <v>180</v>
      </c>
      <c r="Q143" s="3" t="s">
        <v>181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2">
      <c r="A144" s="3">
        <v>226</v>
      </c>
      <c r="B144" s="3">
        <v>1</v>
      </c>
      <c r="C144" s="3" t="s">
        <v>175</v>
      </c>
      <c r="D144" s="3"/>
      <c r="E144" s="3" t="str">
        <f ca="1">IFERROR(__xludf.DUMMYFUNCTION("GOOGLETRANSLATE(J144, ""auto"", ""ko"")"),"가라오케 룸 노래 광장 신주쿠 산쵸메점 부근")</f>
        <v>가라오케 룸 노래 광장 신주쿠 산쵸메점 부근</v>
      </c>
      <c r="F144" s="3" t="s">
        <v>492</v>
      </c>
      <c r="G144" s="3"/>
      <c r="H144" s="3">
        <v>35.692509600000001</v>
      </c>
      <c r="I144" s="3">
        <v>139.7056307</v>
      </c>
      <c r="J144" s="3" t="str">
        <f ca="1">IFERROR(__xludf.DUMMYFUNCTION("GOOGLETRANSLATE(N144, ""auto"", ""ko"")"),"도쿄도 신주쿠 고쵸메")</f>
        <v>도쿄도 신주쿠 고쵸메</v>
      </c>
      <c r="K144" s="3" t="str">
        <f ca="1">IFERROR(__xludf.DUMMYFUNCTION("GOOGLETRANSLATE(P144, ""auto"", ""ko"")"),"도쿄도")</f>
        <v>도쿄도</v>
      </c>
      <c r="L144" s="3" t="str">
        <f ca="1">IFERROR(__xludf.DUMMYFUNCTION("GOOGLETRANSLATE(R144, ""auto"", ""ko"")"),"신주쿠 고쵸메")</f>
        <v>신주쿠 고쵸메</v>
      </c>
      <c r="M144" s="3">
        <v>13104</v>
      </c>
      <c r="N144" s="4" t="s">
        <v>493</v>
      </c>
      <c r="O144" s="4" t="s">
        <v>494</v>
      </c>
      <c r="P144" s="3" t="s">
        <v>180</v>
      </c>
      <c r="Q144" s="3" t="s">
        <v>181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2">
      <c r="A145" s="3">
        <v>227</v>
      </c>
      <c r="B145" s="3">
        <v>1</v>
      </c>
      <c r="C145" s="3" t="s">
        <v>175</v>
      </c>
      <c r="D145" s="3" t="s">
        <v>279</v>
      </c>
      <c r="E145" s="3" t="str">
        <f ca="1">IFERROR(__xludf.DUMMYFUNCTION("GOOGLETRANSLATE(J145, ""auto"", ""ko"")"),"쿠가야마역")</f>
        <v>쿠가야마역</v>
      </c>
      <c r="F145" s="3" t="s">
        <v>495</v>
      </c>
      <c r="G145" s="3"/>
      <c r="H145" s="3">
        <v>35.688364800000002</v>
      </c>
      <c r="I145" s="3">
        <v>139.59894360000001</v>
      </c>
      <c r="J145" s="3" t="str">
        <f ca="1">IFERROR(__xludf.DUMMYFUNCTION("GOOGLETRANSLATE(N145, ""auto"", ""ko"")"),"도쿄도 쿠가야마 산쵸메")</f>
        <v>도쿄도 쿠가야마 산쵸메</v>
      </c>
      <c r="K145" s="3" t="str">
        <f ca="1">IFERROR(__xludf.DUMMYFUNCTION("GOOGLETRANSLATE(P145, ""auto"", ""ko"")"),"도쿄도")</f>
        <v>도쿄도</v>
      </c>
      <c r="L145" s="3" t="str">
        <f ca="1">IFERROR(__xludf.DUMMYFUNCTION("GOOGLETRANSLATE(R145, ""auto"", ""ko"")"),"쿠가야마 산쵸메")</f>
        <v>쿠가야마 산쵸메</v>
      </c>
      <c r="M145" s="3">
        <v>13115</v>
      </c>
      <c r="N145" s="4" t="s">
        <v>496</v>
      </c>
      <c r="O145" s="4" t="s">
        <v>497</v>
      </c>
      <c r="P145" s="3" t="s">
        <v>180</v>
      </c>
      <c r="Q145" s="3" t="s">
        <v>181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x14ac:dyDescent="0.2">
      <c r="A146" s="3">
        <v>228</v>
      </c>
      <c r="B146" s="3">
        <v>1</v>
      </c>
      <c r="C146" s="3" t="s">
        <v>175</v>
      </c>
      <c r="D146" s="3" t="s">
        <v>279</v>
      </c>
      <c r="E146" s="3" t="str">
        <f ca="1">IFERROR(__xludf.DUMMYFUNCTION("GOOGLETRANSLATE(J146, ""auto"", ""ko"")"),"니혼바시")</f>
        <v>니혼바시</v>
      </c>
      <c r="F146" s="3" t="s">
        <v>498</v>
      </c>
      <c r="G146" s="3"/>
      <c r="H146" s="3">
        <v>35.684055999999998</v>
      </c>
      <c r="I146" s="3">
        <v>139.774598</v>
      </c>
      <c r="J146" s="3" t="str">
        <f ca="1">IFERROR(__xludf.DUMMYFUNCTION("GOOGLETRANSLATE(N146, ""auto"", ""ko"")"),"도쿄도 니혼바시 잇쵸메")</f>
        <v>도쿄도 니혼바시 잇쵸메</v>
      </c>
      <c r="K146" s="3" t="str">
        <f ca="1">IFERROR(__xludf.DUMMYFUNCTION("GOOGLETRANSLATE(P146, ""auto"", ""ko"")"),"도쿄도")</f>
        <v>도쿄도</v>
      </c>
      <c r="L146" s="3" t="str">
        <f ca="1">IFERROR(__xludf.DUMMYFUNCTION("GOOGLETRANSLATE(R146, ""auto"", ""ko"")"),"니혼바시 잇쵸메")</f>
        <v>니혼바시 잇쵸메</v>
      </c>
      <c r="M146" s="3">
        <v>13102</v>
      </c>
      <c r="N146" s="4" t="s">
        <v>499</v>
      </c>
      <c r="O146" s="4" t="s">
        <v>500</v>
      </c>
      <c r="P146" s="3" t="s">
        <v>180</v>
      </c>
      <c r="Q146" s="3" t="s">
        <v>181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2">
      <c r="A147" s="3">
        <v>229</v>
      </c>
      <c r="B147" s="3">
        <v>1</v>
      </c>
      <c r="C147" s="3" t="s">
        <v>175</v>
      </c>
      <c r="D147" s="3" t="s">
        <v>279</v>
      </c>
      <c r="E147" s="3" t="str">
        <f ca="1">IFERROR(__xludf.DUMMYFUNCTION("GOOGLETRANSLATE(J147, ""auto"", ""ko"")"),"메이테츠 협상 주차 시부야 제12요요기 1초메 주륜장")</f>
        <v>메이테츠 협상 주차 시부야 제12요요기 1초메 주륜장</v>
      </c>
      <c r="F147" s="3" t="s">
        <v>501</v>
      </c>
      <c r="G147" s="3"/>
      <c r="H147" s="3">
        <v>35.680292000000001</v>
      </c>
      <c r="I147" s="3">
        <v>139.70245299999999</v>
      </c>
      <c r="J147" s="3" t="str">
        <f ca="1">IFERROR(__xludf.DUMMYFUNCTION("GOOGLETRANSLATE(N147, ""auto"", ""ko"")"),"도쿄도 요요기 잇쵸메")</f>
        <v>도쿄도 요요기 잇쵸메</v>
      </c>
      <c r="K147" s="3" t="str">
        <f ca="1">IFERROR(__xludf.DUMMYFUNCTION("GOOGLETRANSLATE(P147, ""auto"", ""ko"")"),"도쿄도")</f>
        <v>도쿄도</v>
      </c>
      <c r="L147" s="3" t="str">
        <f ca="1">IFERROR(__xludf.DUMMYFUNCTION("GOOGLETRANSLATE(R147, ""auto"", ""ko"")"),"요요기 잇쵸메")</f>
        <v>요요기 잇쵸메</v>
      </c>
      <c r="M147" s="3">
        <v>13113</v>
      </c>
      <c r="N147" s="4" t="s">
        <v>502</v>
      </c>
      <c r="O147" s="4" t="s">
        <v>503</v>
      </c>
      <c r="P147" s="3" t="s">
        <v>180</v>
      </c>
      <c r="Q147" s="3" t="s">
        <v>181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x14ac:dyDescent="0.2">
      <c r="A148" s="3">
        <v>230</v>
      </c>
      <c r="B148" s="3">
        <v>1</v>
      </c>
      <c r="C148" s="3" t="s">
        <v>175</v>
      </c>
      <c r="D148" s="3" t="s">
        <v>279</v>
      </c>
      <c r="E148" s="3" t="str">
        <f ca="1">IFERROR(__xludf.DUMMYFUNCTION("GOOGLETRANSLATE(J148, ""auto"", ""ko"")"),"비플랫 커뮤니티 파크 우다가와초 주차장")</f>
        <v>비플랫 커뮤니티 파크 우다가와초 주차장</v>
      </c>
      <c r="F148" s="3" t="s">
        <v>504</v>
      </c>
      <c r="G148" s="3"/>
      <c r="H148" s="3">
        <v>35.661575999999997</v>
      </c>
      <c r="I148" s="3">
        <v>139.69674040000001</v>
      </c>
      <c r="J148" s="3" t="str">
        <f ca="1">IFERROR(__xludf.DUMMYFUNCTION("GOOGLETRANSLATE(N148, ""auto"", ""ko"")"),"도쿄도 우다가와초")</f>
        <v>도쿄도 우다가와초</v>
      </c>
      <c r="K148" s="3" t="str">
        <f ca="1">IFERROR(__xludf.DUMMYFUNCTION("GOOGLETRANSLATE(P148, ""auto"", ""ko"")"),"도쿄도")</f>
        <v>도쿄도</v>
      </c>
      <c r="L148" s="3" t="str">
        <f ca="1">IFERROR(__xludf.DUMMYFUNCTION("GOOGLETRANSLATE(R148, ""auto"", ""ko"")"),"우다가와초")</f>
        <v>우다가와초</v>
      </c>
      <c r="M148" s="3">
        <v>13113</v>
      </c>
      <c r="N148" s="4" t="s">
        <v>505</v>
      </c>
      <c r="O148" s="4" t="s">
        <v>506</v>
      </c>
      <c r="P148" s="3" t="s">
        <v>180</v>
      </c>
      <c r="Q148" s="3" t="s">
        <v>181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x14ac:dyDescent="0.2">
      <c r="A149" s="3">
        <v>231</v>
      </c>
      <c r="B149" s="3">
        <v>1</v>
      </c>
      <c r="C149" s="3" t="s">
        <v>175</v>
      </c>
      <c r="D149" s="3" t="s">
        <v>279</v>
      </c>
      <c r="E149" s="3" t="str">
        <f ca="1">IFERROR(__xludf.DUMMYFUNCTION("GOOGLETRANSLATE(J149, ""auto"", ""ko"")"),"아라카와 나카스 남단")</f>
        <v>아라카와 나카스 남단</v>
      </c>
      <c r="F149" s="3" t="s">
        <v>507</v>
      </c>
      <c r="G149" s="3"/>
      <c r="H149" s="3">
        <v>35.661955200000001</v>
      </c>
      <c r="I149" s="3">
        <v>139.84882440000001</v>
      </c>
      <c r="J149" s="3" t="str">
        <f ca="1">IFERROR(__xludf.DUMMYFUNCTION("GOOGLETRANSLATE(N149, ""auto"", ""ko"")"),"도쿄도 기요신마치 잇쵸메")</f>
        <v>도쿄도 기요신마치 잇쵸메</v>
      </c>
      <c r="K149" s="3" t="str">
        <f ca="1">IFERROR(__xludf.DUMMYFUNCTION("GOOGLETRANSLATE(P149, ""auto"", ""ko"")"),"도쿄도")</f>
        <v>도쿄도</v>
      </c>
      <c r="L149" s="3" t="str">
        <f ca="1">IFERROR(__xludf.DUMMYFUNCTION("GOOGLETRANSLATE(R149, ""auto"", ""ko"")"),"기요신마치 잇쵸메")</f>
        <v>기요신마치 잇쵸메</v>
      </c>
      <c r="M149" s="3">
        <v>13123</v>
      </c>
      <c r="N149" s="4" t="s">
        <v>508</v>
      </c>
      <c r="O149" s="4" t="s">
        <v>509</v>
      </c>
      <c r="P149" s="3" t="s">
        <v>180</v>
      </c>
      <c r="Q149" s="3" t="s">
        <v>181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2">
      <c r="A150" s="3">
        <v>232</v>
      </c>
      <c r="B150" s="3">
        <v>1</v>
      </c>
      <c r="C150" s="3" t="s">
        <v>175</v>
      </c>
      <c r="D150" s="3" t="s">
        <v>52</v>
      </c>
      <c r="E150" s="3" t="str">
        <f ca="1">IFERROR(__xludf.DUMMYFUNCTION("GOOGLETRANSLATE(J150, ""auto"", ""ko"")"),"BOAT RACE 타마가와(타마가와 보트레이스장)")</f>
        <v>BOAT RACE 타마가와(타마가와 보트레이스장)</v>
      </c>
      <c r="F150" s="3" t="s">
        <v>510</v>
      </c>
      <c r="G150" s="3"/>
      <c r="H150" s="3">
        <v>35.657899999999998</v>
      </c>
      <c r="I150" s="3">
        <v>139.49619999999999</v>
      </c>
      <c r="J150" s="3" t="str">
        <f ca="1">IFERROR(__xludf.DUMMYFUNCTION("GOOGLETRANSLATE(N150, ""auto"", ""ko"")"),"도쿄도 고레마사 4초메")</f>
        <v>도쿄도 고레마사 4초메</v>
      </c>
      <c r="K150" s="3" t="str">
        <f ca="1">IFERROR(__xludf.DUMMYFUNCTION("GOOGLETRANSLATE(P150, ""auto"", ""ko"")"),"도쿄도")</f>
        <v>도쿄도</v>
      </c>
      <c r="L150" s="3" t="str">
        <f ca="1">IFERROR(__xludf.DUMMYFUNCTION("GOOGLETRANSLATE(R150, ""auto"", ""ko"")"),"이세이 4초메")</f>
        <v>이세이 4초메</v>
      </c>
      <c r="M150" s="3">
        <v>13206</v>
      </c>
      <c r="N150" s="4" t="s">
        <v>511</v>
      </c>
      <c r="O150" s="4" t="s">
        <v>512</v>
      </c>
      <c r="P150" s="3" t="s">
        <v>180</v>
      </c>
      <c r="Q150" s="3" t="s">
        <v>181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2">
      <c r="A151" s="3">
        <v>233</v>
      </c>
      <c r="B151" s="3">
        <v>1</v>
      </c>
      <c r="C151" s="3" t="s">
        <v>175</v>
      </c>
      <c r="D151" s="3" t="s">
        <v>52</v>
      </c>
      <c r="E151" s="3" t="str">
        <f ca="1">IFERROR(__xludf.DUMMYFUNCTION("GOOGLETRANSLATE(J151, ""auto"", ""ko"")"),"쿠와미 스토어")</f>
        <v>쿠와미 스토어</v>
      </c>
      <c r="F151" s="3" t="s">
        <v>513</v>
      </c>
      <c r="G151" s="3" t="s">
        <v>514</v>
      </c>
      <c r="H151" s="3">
        <v>35.6580315</v>
      </c>
      <c r="I151" s="3">
        <v>139.49958549999999</v>
      </c>
      <c r="J151" s="3" t="str">
        <f ca="1">IFERROR(__xludf.DUMMYFUNCTION("GOOGLETRANSLATE(N151, ""auto"", ""ko"")"),"도쿄도 고레마사 4초메")</f>
        <v>도쿄도 고레마사 4초메</v>
      </c>
      <c r="K151" s="3" t="str">
        <f ca="1">IFERROR(__xludf.DUMMYFUNCTION("GOOGLETRANSLATE(P151, ""auto"", ""ko"")"),"도쿄도")</f>
        <v>도쿄도</v>
      </c>
      <c r="L151" s="3" t="str">
        <f ca="1">IFERROR(__xludf.DUMMYFUNCTION("GOOGLETRANSLATE(R151, ""auto"", ""ko"")"),"이세이 4초메")</f>
        <v>이세이 4초메</v>
      </c>
      <c r="M151" s="3">
        <v>13206</v>
      </c>
      <c r="N151" s="4" t="s">
        <v>515</v>
      </c>
      <c r="O151" s="4" t="s">
        <v>516</v>
      </c>
      <c r="P151" s="3" t="s">
        <v>180</v>
      </c>
      <c r="Q151" s="3" t="s">
        <v>181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x14ac:dyDescent="0.2">
      <c r="A152" s="3">
        <v>234</v>
      </c>
      <c r="B152" s="3">
        <v>1</v>
      </c>
      <c r="C152" s="3" t="s">
        <v>175</v>
      </c>
      <c r="D152" s="3" t="s">
        <v>227</v>
      </c>
      <c r="E152" s="3" t="str">
        <f ca="1">IFERROR(__xludf.DUMMYFUNCTION("GOOGLETRANSLATE(J152, ""auto"", ""ko"")"),"JR 신주쿠역 히가시구치역 앞 광장")</f>
        <v>JR 신주쿠역 히가시구치역 앞 광장</v>
      </c>
      <c r="F152" s="3" t="s">
        <v>517</v>
      </c>
      <c r="G152" s="3"/>
      <c r="H152" s="3">
        <v>35.692270000000001</v>
      </c>
      <c r="I152" s="3">
        <v>139.70089999999999</v>
      </c>
      <c r="J152" s="3" t="str">
        <f ca="1">IFERROR(__xludf.DUMMYFUNCTION("GOOGLETRANSLATE(N152, ""auto"", ""ko"")"),"도쿄도 신주쿠 산쵸메")</f>
        <v>도쿄도 신주쿠 산쵸메</v>
      </c>
      <c r="K152" s="3" t="str">
        <f ca="1">IFERROR(__xludf.DUMMYFUNCTION("GOOGLETRANSLATE(P152, ""auto"", ""ko"")"),"도쿄도")</f>
        <v>도쿄도</v>
      </c>
      <c r="L152" s="3" t="str">
        <f ca="1">IFERROR(__xludf.DUMMYFUNCTION("GOOGLETRANSLATE(R152, ""auto"", ""ko"")"),"신주쿠 산쵸메")</f>
        <v>신주쿠 산쵸메</v>
      </c>
      <c r="M152" s="3">
        <v>13104</v>
      </c>
      <c r="N152" s="4" t="s">
        <v>518</v>
      </c>
      <c r="O152" s="4" t="s">
        <v>519</v>
      </c>
      <c r="P152" s="3" t="s">
        <v>180</v>
      </c>
      <c r="Q152" s="3" t="s">
        <v>181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x14ac:dyDescent="0.2">
      <c r="A153" s="3">
        <v>235</v>
      </c>
      <c r="B153" s="3">
        <v>1</v>
      </c>
      <c r="C153" s="3" t="s">
        <v>175</v>
      </c>
      <c r="D153" s="3" t="s">
        <v>227</v>
      </c>
      <c r="E153" s="3" t="str">
        <f ca="1">IFERROR(__xludf.DUMMYFUNCTION("GOOGLETRANSLATE(J153, ""auto"", ""ko"")"),"켄터키 프라이드 치킨 신주쿠 니시구치점")</f>
        <v>켄터키 프라이드 치킨 신주쿠 니시구치점</v>
      </c>
      <c r="F153" s="3" t="s">
        <v>520</v>
      </c>
      <c r="G153" s="3" t="s">
        <v>521</v>
      </c>
      <c r="H153" s="3">
        <v>35.692970000000003</v>
      </c>
      <c r="I153" s="3">
        <v>139.69934000000001</v>
      </c>
      <c r="J153" s="3" t="str">
        <f ca="1">IFERROR(__xludf.DUMMYFUNCTION("GOOGLETRANSLATE(N153, ""auto"", ""ko"")"),"도쿄도 니시신주쿠 잇쵸메")</f>
        <v>도쿄도 니시신주쿠 잇쵸메</v>
      </c>
      <c r="K153" s="3" t="str">
        <f ca="1">IFERROR(__xludf.DUMMYFUNCTION("GOOGLETRANSLATE(P153, ""auto"", ""ko"")"),"도쿄도")</f>
        <v>도쿄도</v>
      </c>
      <c r="L153" s="3" t="str">
        <f ca="1">IFERROR(__xludf.DUMMYFUNCTION("GOOGLETRANSLATE(R153, ""auto"", ""ko"")"),"니시신주쿠 잇쵸메")</f>
        <v>니시신주쿠 잇쵸메</v>
      </c>
      <c r="M153" s="3">
        <v>13104</v>
      </c>
      <c r="N153" s="4" t="s">
        <v>522</v>
      </c>
      <c r="O153" s="4" t="s">
        <v>523</v>
      </c>
      <c r="P153" s="3" t="s">
        <v>180</v>
      </c>
      <c r="Q153" s="3" t="s">
        <v>181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2">
      <c r="A154" s="3">
        <v>236</v>
      </c>
      <c r="B154" s="3">
        <v>1</v>
      </c>
      <c r="C154" s="3" t="s">
        <v>524</v>
      </c>
      <c r="D154" s="3"/>
      <c r="E154" s="3" t="str">
        <f ca="1">IFERROR(__xludf.DUMMYFUNCTION("GOOGLETRANSLATE(J154, ""auto"", ""ko"")"),"JR 도쿄 종합 병원")</f>
        <v>JR 도쿄 종합 병원</v>
      </c>
      <c r="F154" s="3" t="s">
        <v>525</v>
      </c>
      <c r="G154" s="3"/>
      <c r="H154" s="3">
        <v>35.686314799999998</v>
      </c>
      <c r="I154" s="3">
        <v>139.70003500000001</v>
      </c>
      <c r="J154" s="3" t="str">
        <f ca="1">IFERROR(__xludf.DUMMYFUNCTION("GOOGLETRANSLATE(N154, ""auto"", ""ko"")"),"도쿄도 요요기 니쵸메")</f>
        <v>도쿄도 요요기 니쵸메</v>
      </c>
      <c r="K154" s="3" t="str">
        <f ca="1">IFERROR(__xludf.DUMMYFUNCTION("GOOGLETRANSLATE(P154, ""auto"", ""ko"")"),"도쿄도")</f>
        <v>도쿄도</v>
      </c>
      <c r="L154" s="3" t="str">
        <f ca="1">IFERROR(__xludf.DUMMYFUNCTION("GOOGLETRANSLATE(R154, ""auto"", ""ko"")"),"요요기 니쵸메")</f>
        <v>요요기 니쵸메</v>
      </c>
      <c r="M154" s="3">
        <v>13113</v>
      </c>
      <c r="N154" s="4" t="s">
        <v>526</v>
      </c>
      <c r="O154" s="4" t="s">
        <v>527</v>
      </c>
      <c r="P154" s="3" t="s">
        <v>528</v>
      </c>
      <c r="Q154" s="3" t="s">
        <v>529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x14ac:dyDescent="0.2">
      <c r="A155" s="3">
        <v>237</v>
      </c>
      <c r="B155" s="3">
        <v>1</v>
      </c>
      <c r="C155" s="3" t="s">
        <v>524</v>
      </c>
      <c r="D155" s="3"/>
      <c r="E155" s="3" t="str">
        <f ca="1">IFERROR(__xludf.DUMMYFUNCTION("GOOGLETRANSLATE(J155, ""auto"", ""ko"")"),"푸티델릴륨 탭 카페 신주쿠점")</f>
        <v>푸티델릴륨 탭 카페 신주쿠점</v>
      </c>
      <c r="F155" s="3" t="s">
        <v>530</v>
      </c>
      <c r="G155" s="3"/>
      <c r="H155" s="3">
        <v>35.686019600000002</v>
      </c>
      <c r="I155" s="3">
        <v>139.7003708</v>
      </c>
      <c r="J155" s="3" t="str">
        <f ca="1">IFERROR(__xludf.DUMMYFUNCTION("GOOGLETRANSLATE(N155, ""auto"", ""ko"")"),"도쿄도 요요기 니쵸메")</f>
        <v>도쿄도 요요기 니쵸메</v>
      </c>
      <c r="K155" s="3" t="str">
        <f ca="1">IFERROR(__xludf.DUMMYFUNCTION("GOOGLETRANSLATE(P155, ""auto"", ""ko"")"),"도쿄도")</f>
        <v>도쿄도</v>
      </c>
      <c r="L155" s="3" t="str">
        <f ca="1">IFERROR(__xludf.DUMMYFUNCTION("GOOGLETRANSLATE(R155, ""auto"", ""ko"")"),"요요기 니쵸메")</f>
        <v>요요기 니쵸메</v>
      </c>
      <c r="M155" s="3">
        <v>13113</v>
      </c>
      <c r="N155" s="4" t="s">
        <v>531</v>
      </c>
      <c r="O155" s="4" t="s">
        <v>532</v>
      </c>
      <c r="P155" s="3" t="s">
        <v>528</v>
      </c>
      <c r="Q155" s="3" t="s">
        <v>529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x14ac:dyDescent="0.2">
      <c r="A156" s="3">
        <v>238</v>
      </c>
      <c r="B156" s="3">
        <v>1</v>
      </c>
      <c r="C156" s="3" t="s">
        <v>524</v>
      </c>
      <c r="D156" s="3"/>
      <c r="E156" s="3" t="str">
        <f ca="1">IFERROR(__xludf.DUMMYFUNCTION("GOOGLETRANSLATE(J156, ""auto"", ""ko"")"),"세븐일레븐 요요기역 북쪽 출구점")</f>
        <v>세븐일레븐 요요기역 북쪽 출구점</v>
      </c>
      <c r="F156" s="3" t="s">
        <v>533</v>
      </c>
      <c r="G156" s="3"/>
      <c r="H156" s="3">
        <v>35.684648000000003</v>
      </c>
      <c r="I156" s="3">
        <v>139.7013154</v>
      </c>
      <c r="J156" s="3" t="str">
        <f ca="1">IFERROR(__xludf.DUMMYFUNCTION("GOOGLETRANSLATE(N156, ""auto"", ""ko"")"),"도쿄도 요요기 잇쵸메")</f>
        <v>도쿄도 요요기 잇쵸메</v>
      </c>
      <c r="K156" s="3" t="str">
        <f ca="1">IFERROR(__xludf.DUMMYFUNCTION("GOOGLETRANSLATE(P156, ""auto"", ""ko"")"),"도쿄도")</f>
        <v>도쿄도</v>
      </c>
      <c r="L156" s="3" t="str">
        <f ca="1">IFERROR(__xludf.DUMMYFUNCTION("GOOGLETRANSLATE(R156, ""auto"", ""ko"")"),"요요기 잇쵸메")</f>
        <v>요요기 잇쵸메</v>
      </c>
      <c r="M156" s="3">
        <v>13113</v>
      </c>
      <c r="N156" s="4" t="s">
        <v>534</v>
      </c>
      <c r="O156" s="4" t="s">
        <v>535</v>
      </c>
      <c r="P156" s="3" t="s">
        <v>528</v>
      </c>
      <c r="Q156" s="3" t="s">
        <v>529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x14ac:dyDescent="0.2">
      <c r="A157" s="3">
        <v>239</v>
      </c>
      <c r="B157" s="3">
        <v>1</v>
      </c>
      <c r="C157" s="3" t="s">
        <v>524</v>
      </c>
      <c r="D157" s="3"/>
      <c r="E157" s="3" t="str">
        <f ca="1">IFERROR(__xludf.DUMMYFUNCTION("GOOGLETRANSLATE(J157, ""auto"", ""ko"")"),"로손 쿠오루 요요기 에키마에점")</f>
        <v>로손 쿠오루 요요기 에키마에점</v>
      </c>
      <c r="F157" s="3" t="s">
        <v>536</v>
      </c>
      <c r="G157" s="3"/>
      <c r="H157" s="3">
        <v>35.683439999999997</v>
      </c>
      <c r="I157" s="3">
        <v>139.70167000000001</v>
      </c>
      <c r="J157" s="3" t="str">
        <f ca="1">IFERROR(__xludf.DUMMYFUNCTION("GOOGLETRANSLATE(N157, ""auto"", ""ko"")"),"도쿄도 요요기 잇쵸메")</f>
        <v>도쿄도 요요기 잇쵸메</v>
      </c>
      <c r="K157" s="3" t="str">
        <f ca="1">IFERROR(__xludf.DUMMYFUNCTION("GOOGLETRANSLATE(P157, ""auto"", ""ko"")"),"도쿄도")</f>
        <v>도쿄도</v>
      </c>
      <c r="L157" s="3" t="str">
        <f ca="1">IFERROR(__xludf.DUMMYFUNCTION("GOOGLETRANSLATE(R157, ""auto"", ""ko"")"),"요요기 잇쵸메")</f>
        <v>요요기 잇쵸메</v>
      </c>
      <c r="M157" s="3">
        <v>13113</v>
      </c>
      <c r="N157" s="4" t="s">
        <v>537</v>
      </c>
      <c r="O157" s="4" t="s">
        <v>538</v>
      </c>
      <c r="P157" s="3" t="s">
        <v>528</v>
      </c>
      <c r="Q157" s="3" t="s">
        <v>529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x14ac:dyDescent="0.2">
      <c r="A158" s="3">
        <v>240</v>
      </c>
      <c r="B158" s="3">
        <v>1</v>
      </c>
      <c r="C158" s="3" t="s">
        <v>524</v>
      </c>
      <c r="D158" s="3"/>
      <c r="E158" s="3" t="str">
        <f ca="1">IFERROR(__xludf.DUMMYFUNCTION("GOOGLETRANSLATE(J158, ""auto"", ""ko"")"),"다케시바 여객선 터미널")</f>
        <v>다케시바 여객선 터미널</v>
      </c>
      <c r="F158" s="3" t="s">
        <v>539</v>
      </c>
      <c r="G158" s="3"/>
      <c r="H158" s="3">
        <v>35.654430400000003</v>
      </c>
      <c r="I158" s="3">
        <v>139.7631092</v>
      </c>
      <c r="J158" s="3" t="str">
        <f ca="1">IFERROR(__xludf.DUMMYFUNCTION("GOOGLETRANSLATE(N158, ""auto"", ""ko"")"),"도쿄도 카이간 잇쵸메")</f>
        <v>도쿄도 카이간 잇쵸메</v>
      </c>
      <c r="K158" s="3" t="str">
        <f ca="1">IFERROR(__xludf.DUMMYFUNCTION("GOOGLETRANSLATE(P158, ""auto"", ""ko"")"),"도쿄도")</f>
        <v>도쿄도</v>
      </c>
      <c r="L158" s="3" t="str">
        <f ca="1">IFERROR(__xludf.DUMMYFUNCTION("GOOGLETRANSLATE(R158, ""auto"", ""ko"")"),"해안 잇쵸메")</f>
        <v>해안 잇쵸메</v>
      </c>
      <c r="M158" s="3">
        <v>13103</v>
      </c>
      <c r="N158" s="4" t="s">
        <v>540</v>
      </c>
      <c r="O158" s="4" t="s">
        <v>541</v>
      </c>
      <c r="P158" s="3" t="s">
        <v>528</v>
      </c>
      <c r="Q158" s="3" t="s">
        <v>529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2">
      <c r="A159" s="3">
        <v>241</v>
      </c>
      <c r="B159" s="3">
        <v>1</v>
      </c>
      <c r="C159" s="3" t="s">
        <v>524</v>
      </c>
      <c r="D159" s="3"/>
      <c r="E159" s="3" t="str">
        <f ca="1">IFERROR(__xludf.DUMMYFUNCTION("GOOGLETRANSLATE(J159, ""auto"", ""ko"")"),"가부키초 사쿠라 거리")</f>
        <v>가부키초 사쿠라 거리</v>
      </c>
      <c r="F159" s="3" t="s">
        <v>542</v>
      </c>
      <c r="G159" s="3"/>
      <c r="H159" s="3">
        <v>35.693539999999999</v>
      </c>
      <c r="I159" s="3">
        <v>139.70233999999999</v>
      </c>
      <c r="J159" s="3" t="str">
        <f ca="1">IFERROR(__xludf.DUMMYFUNCTION("GOOGLETRANSLATE(N159, ""auto"", ""ko"")"),"도쿄도 가부키초 잇쵸메")</f>
        <v>도쿄도 가부키초 잇쵸메</v>
      </c>
      <c r="K159" s="3" t="str">
        <f ca="1">IFERROR(__xludf.DUMMYFUNCTION("GOOGLETRANSLATE(P159, ""auto"", ""ko"")"),"도쿄도")</f>
        <v>도쿄도</v>
      </c>
      <c r="L159" s="3" t="str">
        <f ca="1">IFERROR(__xludf.DUMMYFUNCTION("GOOGLETRANSLATE(R159, ""auto"", ""ko"")"),"가부키초 잇쵸메")</f>
        <v>가부키초 잇쵸메</v>
      </c>
      <c r="M159" s="3">
        <v>13104</v>
      </c>
      <c r="N159" s="4" t="s">
        <v>543</v>
      </c>
      <c r="O159" s="4" t="s">
        <v>544</v>
      </c>
      <c r="P159" s="3" t="s">
        <v>528</v>
      </c>
      <c r="Q159" s="3" t="s">
        <v>529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2">
      <c r="A160" s="3">
        <v>242</v>
      </c>
      <c r="B160" s="3">
        <v>1</v>
      </c>
      <c r="C160" s="3" t="s">
        <v>524</v>
      </c>
      <c r="D160" s="3"/>
      <c r="E160" s="3" t="str">
        <f ca="1">IFERROR(__xludf.DUMMYFUNCTION("GOOGLETRANSLATE(J160, ""auto"", ""ko"")"),"미쓰비시 UFJ 은행 ATM 코너 신주쿠역 동쪽 출구")</f>
        <v>미쓰비시 UFJ 은행 ATM 코너 신주쿠역 동쪽 출구</v>
      </c>
      <c r="F160" s="3" t="s">
        <v>545</v>
      </c>
      <c r="G160" s="3"/>
      <c r="H160" s="3">
        <v>35.691014299999999</v>
      </c>
      <c r="I160" s="3">
        <v>139.70123570000001</v>
      </c>
      <c r="J160" s="3" t="str">
        <f ca="1">IFERROR(__xludf.DUMMYFUNCTION("GOOGLETRANSLATE(N160, ""auto"", ""ko"")"),"도쿄도 신주쿠 산쵸메")</f>
        <v>도쿄도 신주쿠 산쵸메</v>
      </c>
      <c r="K160" s="3" t="str">
        <f ca="1">IFERROR(__xludf.DUMMYFUNCTION("GOOGLETRANSLATE(P160, ""auto"", ""ko"")"),"도쿄도")</f>
        <v>도쿄도</v>
      </c>
      <c r="L160" s="3" t="str">
        <f ca="1">IFERROR(__xludf.DUMMYFUNCTION("GOOGLETRANSLATE(R160, ""auto"", ""ko"")"),"신주쿠 산쵸메")</f>
        <v>신주쿠 산쵸메</v>
      </c>
      <c r="M160" s="3">
        <v>13104</v>
      </c>
      <c r="N160" s="4" t="s">
        <v>546</v>
      </c>
      <c r="O160" s="4" t="s">
        <v>547</v>
      </c>
      <c r="P160" s="3" t="s">
        <v>528</v>
      </c>
      <c r="Q160" s="3" t="s">
        <v>529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2">
      <c r="A161" s="3">
        <v>243</v>
      </c>
      <c r="B161" s="3">
        <v>1</v>
      </c>
      <c r="C161" s="3" t="s">
        <v>524</v>
      </c>
      <c r="D161" s="3"/>
      <c r="E161" s="3" t="str">
        <f ca="1">IFERROR(__xludf.DUMMYFUNCTION("GOOGLETRANSLATE(J161, ""auto"", ""ko"")"),"가부키초 이치반가이 아치")</f>
        <v>가부키초 이치반가이 아치</v>
      </c>
      <c r="F161" s="3" t="s">
        <v>548</v>
      </c>
      <c r="G161" s="3"/>
      <c r="H161" s="3">
        <v>35.694009999999999</v>
      </c>
      <c r="I161" s="3">
        <v>139.70106999999999</v>
      </c>
      <c r="J161" s="3" t="str">
        <f ca="1">IFERROR(__xludf.DUMMYFUNCTION("GOOGLETRANSLATE(N161, ""auto"", ""ko"")"),"도쿄도 가부키초 잇쵸메")</f>
        <v>도쿄도 가부키초 잇쵸메</v>
      </c>
      <c r="K161" s="3" t="str">
        <f ca="1">IFERROR(__xludf.DUMMYFUNCTION("GOOGLETRANSLATE(P161, ""auto"", ""ko"")"),"도쿄도")</f>
        <v>도쿄도</v>
      </c>
      <c r="L161" s="3" t="str">
        <f ca="1">IFERROR(__xludf.DUMMYFUNCTION("GOOGLETRANSLATE(R161, ""auto"", ""ko"")"),"가부키초 잇쵸메")</f>
        <v>가부키초 잇쵸메</v>
      </c>
      <c r="M161" s="3">
        <v>13104</v>
      </c>
      <c r="N161" s="4" t="s">
        <v>549</v>
      </c>
      <c r="O161" s="4" t="s">
        <v>550</v>
      </c>
      <c r="P161" s="3" t="s">
        <v>528</v>
      </c>
      <c r="Q161" s="3" t="s">
        <v>529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2">
      <c r="A162" s="3">
        <v>244</v>
      </c>
      <c r="B162" s="3">
        <v>1</v>
      </c>
      <c r="C162" s="3" t="s">
        <v>524</v>
      </c>
      <c r="D162" s="3"/>
      <c r="E162" s="3" t="str">
        <f ca="1">IFERROR(__xludf.DUMMYFUNCTION("GOOGLETRANSLATE(J162, ""auto"", ""ko"")"),"와카사야 가부키초점")</f>
        <v>와카사야 가부키초점</v>
      </c>
      <c r="F162" s="3" t="s">
        <v>551</v>
      </c>
      <c r="G162" s="3"/>
      <c r="H162" s="3">
        <v>35.694370599999999</v>
      </c>
      <c r="I162" s="3">
        <v>139.7017668</v>
      </c>
      <c r="J162" s="3" t="str">
        <f ca="1">IFERROR(__xludf.DUMMYFUNCTION("GOOGLETRANSLATE(N162, ""auto"", ""ko"")"),"도쿄도 가부키초 잇쵸메")</f>
        <v>도쿄도 가부키초 잇쵸메</v>
      </c>
      <c r="K162" s="3" t="str">
        <f ca="1">IFERROR(__xludf.DUMMYFUNCTION("GOOGLETRANSLATE(P162, ""auto"", ""ko"")"),"도쿄도")</f>
        <v>도쿄도</v>
      </c>
      <c r="L162" s="3" t="str">
        <f ca="1">IFERROR(__xludf.DUMMYFUNCTION("GOOGLETRANSLATE(R162, ""auto"", ""ko"")"),"가부키초 잇쵸메")</f>
        <v>가부키초 잇쵸메</v>
      </c>
      <c r="M162" s="3">
        <v>13104</v>
      </c>
      <c r="N162" s="4" t="s">
        <v>552</v>
      </c>
      <c r="O162" s="4" t="s">
        <v>553</v>
      </c>
      <c r="P162" s="3" t="s">
        <v>528</v>
      </c>
      <c r="Q162" s="3" t="s">
        <v>529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2">
      <c r="A163" s="3">
        <v>245</v>
      </c>
      <c r="B163" s="3">
        <v>1</v>
      </c>
      <c r="C163" s="3" t="s">
        <v>524</v>
      </c>
      <c r="D163" s="3"/>
      <c r="E163" s="3" t="str">
        <f ca="1">IFERROR(__xludf.DUMMYFUNCTION("GOOGLETRANSLATE(J163, ""auto"", ""ko"")"),"패밀리마트 신주쿠 가부키초 이치반가점")</f>
        <v>패밀리마트 신주쿠 가부키초 이치반가점</v>
      </c>
      <c r="F163" s="3" t="s">
        <v>554</v>
      </c>
      <c r="G163" s="3"/>
      <c r="H163" s="3">
        <v>35.694679999999998</v>
      </c>
      <c r="I163" s="3">
        <v>139.70131000000001</v>
      </c>
      <c r="J163" s="3" t="str">
        <f ca="1">IFERROR(__xludf.DUMMYFUNCTION("GOOGLETRANSLATE(N163, ""auto"", ""ko"")"),"도쿄도 가부키초 잇쵸메")</f>
        <v>도쿄도 가부키초 잇쵸메</v>
      </c>
      <c r="K163" s="3" t="str">
        <f ca="1">IFERROR(__xludf.DUMMYFUNCTION("GOOGLETRANSLATE(P163, ""auto"", ""ko"")"),"도쿄도")</f>
        <v>도쿄도</v>
      </c>
      <c r="L163" s="3" t="str">
        <f ca="1">IFERROR(__xludf.DUMMYFUNCTION("GOOGLETRANSLATE(R163, ""auto"", ""ko"")"),"가부키초 잇쵸메")</f>
        <v>가부키초 잇쵸메</v>
      </c>
      <c r="M163" s="3">
        <v>13104</v>
      </c>
      <c r="N163" s="4" t="s">
        <v>555</v>
      </c>
      <c r="O163" s="4" t="s">
        <v>556</v>
      </c>
      <c r="P163" s="3" t="s">
        <v>528</v>
      </c>
      <c r="Q163" s="3" t="s">
        <v>529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2">
      <c r="A164" s="3">
        <v>246</v>
      </c>
      <c r="B164" s="3">
        <v>1</v>
      </c>
      <c r="C164" s="3" t="s">
        <v>524</v>
      </c>
      <c r="D164" s="3"/>
      <c r="E164" s="3" t="str">
        <f ca="1">IFERROR(__xludf.DUMMYFUNCTION("GOOGLETRANSLATE(J164, ""auto"", ""ko"")"),"시네 시티 광장")</f>
        <v>시네 시티 광장</v>
      </c>
      <c r="F164" s="3" t="s">
        <v>557</v>
      </c>
      <c r="G164" s="3"/>
      <c r="H164" s="3">
        <v>35.695402000000001</v>
      </c>
      <c r="I164" s="3">
        <v>139.7015227</v>
      </c>
      <c r="J164" s="3" t="str">
        <f ca="1">IFERROR(__xludf.DUMMYFUNCTION("GOOGLETRANSLATE(N164, ""auto"", ""ko"")"),"도쿄도 가부키초 잇쵸메")</f>
        <v>도쿄도 가부키초 잇쵸메</v>
      </c>
      <c r="K164" s="3" t="str">
        <f ca="1">IFERROR(__xludf.DUMMYFUNCTION("GOOGLETRANSLATE(P164, ""auto"", ""ko"")"),"도쿄도")</f>
        <v>도쿄도</v>
      </c>
      <c r="L164" s="3" t="str">
        <f ca="1">IFERROR(__xludf.DUMMYFUNCTION("GOOGLETRANSLATE(R164, ""auto"", ""ko"")"),"가부키초 잇쵸메")</f>
        <v>가부키초 잇쵸메</v>
      </c>
      <c r="M164" s="3">
        <v>13104</v>
      </c>
      <c r="N164" s="4" t="s">
        <v>558</v>
      </c>
      <c r="O164" s="4" t="s">
        <v>559</v>
      </c>
      <c r="P164" s="3" t="s">
        <v>528</v>
      </c>
      <c r="Q164" s="3" t="s">
        <v>529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2">
      <c r="A165" s="3">
        <v>247</v>
      </c>
      <c r="B165" s="3">
        <v>1</v>
      </c>
      <c r="C165" s="3" t="s">
        <v>524</v>
      </c>
      <c r="D165" s="3"/>
      <c r="E165" s="3" t="str">
        <f ca="1">IFERROR(__xludf.DUMMYFUNCTION("GOOGLETRANSLATE(J165, ""auto"", ""ko"")"),"아타미빌")</f>
        <v>아타미빌</v>
      </c>
      <c r="F165" s="3" t="s">
        <v>560</v>
      </c>
      <c r="G165" s="3" t="s">
        <v>561</v>
      </c>
      <c r="H165" s="3">
        <v>35.696056200000001</v>
      </c>
      <c r="I165" s="3">
        <v>139.7030571</v>
      </c>
      <c r="J165" s="3" t="str">
        <f ca="1">IFERROR(__xludf.DUMMYFUNCTION("GOOGLETRANSLATE(N165, ""auto"", ""ko"")"),"도쿄도 가부키초 니쵸메")</f>
        <v>도쿄도 가부키초 니쵸메</v>
      </c>
      <c r="K165" s="3" t="str">
        <f ca="1">IFERROR(__xludf.DUMMYFUNCTION("GOOGLETRANSLATE(P165, ""auto"", ""ko"")"),"도쿄도")</f>
        <v>도쿄도</v>
      </c>
      <c r="L165" s="3" t="str">
        <f ca="1">IFERROR(__xludf.DUMMYFUNCTION("GOOGLETRANSLATE(R165, ""auto"", ""ko"")"),"가부키초 니쵸메")</f>
        <v>가부키초 니쵸메</v>
      </c>
      <c r="M165" s="3">
        <v>13104</v>
      </c>
      <c r="N165" s="4" t="s">
        <v>562</v>
      </c>
      <c r="O165" s="4" t="s">
        <v>563</v>
      </c>
      <c r="P165" s="3" t="s">
        <v>528</v>
      </c>
      <c r="Q165" s="3" t="s">
        <v>529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2">
      <c r="A166" s="3">
        <v>248</v>
      </c>
      <c r="B166" s="3">
        <v>1</v>
      </c>
      <c r="C166" s="3" t="s">
        <v>524</v>
      </c>
      <c r="D166" s="3"/>
      <c r="E166" s="3" t="str">
        <f ca="1">IFERROR(__xludf.DUMMYFUNCTION("GOOGLETRANSLATE(J166, ""auto"", ""ko"")"),"맥도날드 세이부 신주쿠역 앞점")</f>
        <v>맥도날드 세이부 신주쿠역 앞점</v>
      </c>
      <c r="F166" s="3" t="s">
        <v>564</v>
      </c>
      <c r="G166" s="3"/>
      <c r="H166" s="3">
        <v>35.693885100000003</v>
      </c>
      <c r="I166" s="3">
        <v>139.70055339999999</v>
      </c>
      <c r="J166" s="3" t="str">
        <f ca="1">IFERROR(__xludf.DUMMYFUNCTION("GOOGLETRANSLATE(N166, ""auto"", ""ko"")"),"도쿄도 가부키초 잇쵸메")</f>
        <v>도쿄도 가부키초 잇쵸메</v>
      </c>
      <c r="K166" s="3" t="str">
        <f ca="1">IFERROR(__xludf.DUMMYFUNCTION("GOOGLETRANSLATE(P166, ""auto"", ""ko"")"),"도쿄도")</f>
        <v>도쿄도</v>
      </c>
      <c r="L166" s="3" t="str">
        <f ca="1">IFERROR(__xludf.DUMMYFUNCTION("GOOGLETRANSLATE(R166, ""auto"", ""ko"")"),"가부키초 잇쵸메")</f>
        <v>가부키초 잇쵸메</v>
      </c>
      <c r="M166" s="3">
        <v>13104</v>
      </c>
      <c r="N166" s="4" t="s">
        <v>565</v>
      </c>
      <c r="O166" s="4" t="s">
        <v>566</v>
      </c>
      <c r="P166" s="3" t="s">
        <v>528</v>
      </c>
      <c r="Q166" s="3" t="s">
        <v>529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2">
      <c r="A167" s="3">
        <v>249</v>
      </c>
      <c r="B167" s="3">
        <v>1</v>
      </c>
      <c r="C167" s="3" t="s">
        <v>524</v>
      </c>
      <c r="D167" s="3"/>
      <c r="E167" s="3" t="str">
        <f ca="1">IFERROR(__xludf.DUMMYFUNCTION("GOOGLETRANSLATE(J167, ""auto"", ""ko"")"),"사카젠 신주쿠점")</f>
        <v>사카젠 신주쿠점</v>
      </c>
      <c r="F167" s="3" t="s">
        <v>567</v>
      </c>
      <c r="G167" s="3"/>
      <c r="H167" s="3">
        <v>35.691850000000002</v>
      </c>
      <c r="I167" s="3">
        <v>139.70828</v>
      </c>
      <c r="J167" s="3" t="str">
        <f ca="1">IFERROR(__xludf.DUMMYFUNCTION("GOOGLETRANSLATE(N167, ""auto"", ""ko"")"),"도쿄도 신주쿠 고쵸메")</f>
        <v>도쿄도 신주쿠 고쵸메</v>
      </c>
      <c r="K167" s="3" t="str">
        <f ca="1">IFERROR(__xludf.DUMMYFUNCTION("GOOGLETRANSLATE(P167, ""auto"", ""ko"")"),"도쿄도")</f>
        <v>도쿄도</v>
      </c>
      <c r="L167" s="3" t="str">
        <f ca="1">IFERROR(__xludf.DUMMYFUNCTION("GOOGLETRANSLATE(R167, ""auto"", ""ko"")"),"신주쿠 고쵸메")</f>
        <v>신주쿠 고쵸메</v>
      </c>
      <c r="M167" s="3">
        <v>13104</v>
      </c>
      <c r="N167" s="4" t="s">
        <v>568</v>
      </c>
      <c r="O167" s="4" t="s">
        <v>569</v>
      </c>
      <c r="P167" s="3" t="s">
        <v>528</v>
      </c>
      <c r="Q167" s="3" t="s">
        <v>529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2">
      <c r="A168" s="3">
        <v>250</v>
      </c>
      <c r="B168" s="3">
        <v>1</v>
      </c>
      <c r="C168" s="3" t="s">
        <v>524</v>
      </c>
      <c r="D168" s="3"/>
      <c r="E168" s="3" t="str">
        <f ca="1">IFERROR(__xludf.DUMMYFUNCTION("GOOGLETRANSLATE(J168, ""auto"", ""ko"")"),"슈차오")</f>
        <v>슈차오</v>
      </c>
      <c r="F168" s="3" t="s">
        <v>570</v>
      </c>
      <c r="G168" s="3" t="s">
        <v>571</v>
      </c>
      <c r="H168" s="3">
        <v>35.6925636</v>
      </c>
      <c r="I168" s="3">
        <v>139.7217378</v>
      </c>
      <c r="J168" s="3" t="str">
        <f ca="1">IFERROR(__xludf.DUMMYFUNCTION("GOOGLETRANSLATE(N168, ""auto"", ""ko"")"),"도쿄도 스미요시초")</f>
        <v>도쿄도 스미요시초</v>
      </c>
      <c r="K168" s="3" t="str">
        <f ca="1">IFERROR(__xludf.DUMMYFUNCTION("GOOGLETRANSLATE(P168, ""auto"", ""ko"")"),"도쿄도")</f>
        <v>도쿄도</v>
      </c>
      <c r="L168" s="3" t="str">
        <f ca="1">IFERROR(__xludf.DUMMYFUNCTION("GOOGLETRANSLATE(R168, ""auto"", ""ko"")"),"스미요시초")</f>
        <v>스미요시초</v>
      </c>
      <c r="M168" s="3">
        <v>13104</v>
      </c>
      <c r="N168" s="4" t="s">
        <v>572</v>
      </c>
      <c r="O168" s="4" t="s">
        <v>573</v>
      </c>
      <c r="P168" s="3" t="s">
        <v>528</v>
      </c>
      <c r="Q168" s="3" t="s">
        <v>529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2">
      <c r="A169" s="3">
        <v>251</v>
      </c>
      <c r="B169" s="3">
        <v>1</v>
      </c>
      <c r="C169" s="3" t="s">
        <v>524</v>
      </c>
      <c r="D169" s="3"/>
      <c r="E169" s="3" t="str">
        <f ca="1">IFERROR(__xludf.DUMMYFUNCTION("GOOGLETRANSLATE(J169, ""auto"", ""ko"")"),"갤러리 비탈")</f>
        <v>갤러리 비탈</v>
      </c>
      <c r="F169" s="3" t="s">
        <v>574</v>
      </c>
      <c r="G169" s="3" t="s">
        <v>575</v>
      </c>
      <c r="H169" s="3">
        <v>35.705533500000001</v>
      </c>
      <c r="I169" s="3">
        <v>139.73542069999999</v>
      </c>
      <c r="J169" s="3" t="str">
        <f ca="1">IFERROR(__xludf.DUMMYFUNCTION("GOOGLETRANSLATE(N169, ""auto"", ""ko"")"),"도쿄도 츠키지초")</f>
        <v>도쿄도 츠키지초</v>
      </c>
      <c r="K169" s="3" t="str">
        <f ca="1">IFERROR(__xludf.DUMMYFUNCTION("GOOGLETRANSLATE(P169, ""auto"", ""ko"")"),"도쿄도")</f>
        <v>도쿄도</v>
      </c>
      <c r="L169" s="3" t="str">
        <f ca="1">IFERROR(__xludf.DUMMYFUNCTION("GOOGLETRANSLATE(R169, ""auto"", ""ko"")"),"츠키지초")</f>
        <v>츠키지초</v>
      </c>
      <c r="M169" s="3">
        <v>13104</v>
      </c>
      <c r="N169" s="4" t="s">
        <v>576</v>
      </c>
      <c r="O169" s="4" t="s">
        <v>577</v>
      </c>
      <c r="P169" s="3" t="s">
        <v>528</v>
      </c>
      <c r="Q169" s="3" t="s">
        <v>529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2">
      <c r="A170" s="3">
        <v>252</v>
      </c>
      <c r="B170" s="3">
        <v>1</v>
      </c>
      <c r="C170" s="3" t="s">
        <v>524</v>
      </c>
      <c r="D170" s="3"/>
      <c r="E170" s="3" t="str">
        <f ca="1">IFERROR(__xludf.DUMMYFUNCTION("GOOGLETRANSLATE(J170, ""auto"", ""ko"")"),"GU 오카치마치점")</f>
        <v>GU 오카치마치점</v>
      </c>
      <c r="F170" s="3" t="s">
        <v>578</v>
      </c>
      <c r="G170" s="3"/>
      <c r="H170" s="3">
        <v>35.707702900000001</v>
      </c>
      <c r="I170" s="3">
        <v>139.7745669</v>
      </c>
      <c r="J170" s="3" t="str">
        <f ca="1">IFERROR(__xludf.DUMMYFUNCTION("GOOGLETRANSLATE(N170, ""auto"", ""ko"")"),"도쿄도 우에노 고쵸메")</f>
        <v>도쿄도 우에노 고쵸메</v>
      </c>
      <c r="K170" s="3" t="str">
        <f ca="1">IFERROR(__xludf.DUMMYFUNCTION("GOOGLETRANSLATE(P170, ""auto"", ""ko"")"),"도쿄도")</f>
        <v>도쿄도</v>
      </c>
      <c r="L170" s="3" t="str">
        <f ca="1">IFERROR(__xludf.DUMMYFUNCTION("GOOGLETRANSLATE(R170, ""auto"", ""ko"")"),"우에노 고쵸메")</f>
        <v>우에노 고쵸메</v>
      </c>
      <c r="M170" s="3">
        <v>13106</v>
      </c>
      <c r="N170" s="4" t="s">
        <v>579</v>
      </c>
      <c r="O170" s="4" t="s">
        <v>580</v>
      </c>
      <c r="P170" s="3" t="s">
        <v>528</v>
      </c>
      <c r="Q170" s="3" t="s">
        <v>529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2">
      <c r="A171" s="3">
        <v>253</v>
      </c>
      <c r="B171" s="3">
        <v>1</v>
      </c>
      <c r="C171" s="3" t="s">
        <v>524</v>
      </c>
      <c r="D171" s="3"/>
      <c r="E171" s="3" t="str">
        <f ca="1">IFERROR(__xludf.DUMMYFUNCTION("GOOGLETRANSLATE(J171, ""auto"", ""ko"")"),"야칸 신사")</f>
        <v>야칸 신사</v>
      </c>
      <c r="F171" s="3" t="s">
        <v>581</v>
      </c>
      <c r="G171" s="3"/>
      <c r="H171" s="3">
        <v>35.669204100000002</v>
      </c>
      <c r="I171" s="3">
        <v>139.76031169999999</v>
      </c>
      <c r="J171" s="3" t="str">
        <f ca="1">IFERROR(__xludf.DUMMYFUNCTION("GOOGLETRANSLATE(N171, ""auto"", ""ko"")"),"도쿄도 긴자 하치초메")</f>
        <v>도쿄도 긴자 하치초메</v>
      </c>
      <c r="K171" s="3" t="str">
        <f ca="1">IFERROR(__xludf.DUMMYFUNCTION("GOOGLETRANSLATE(P171, ""auto"", ""ko"")"),"도쿄도")</f>
        <v>도쿄도</v>
      </c>
      <c r="L171" s="3" t="str">
        <f ca="1">IFERROR(__xludf.DUMMYFUNCTION("GOOGLETRANSLATE(R171, ""auto"", ""ko"")"),"긴자 핫초메")</f>
        <v>긴자 핫초메</v>
      </c>
      <c r="M171" s="3">
        <v>13102</v>
      </c>
      <c r="N171" s="4" t="s">
        <v>582</v>
      </c>
      <c r="O171" s="4" t="s">
        <v>583</v>
      </c>
      <c r="P171" s="3" t="s">
        <v>528</v>
      </c>
      <c r="Q171" s="3" t="s">
        <v>529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2">
      <c r="A172" s="3">
        <v>254</v>
      </c>
      <c r="B172" s="3">
        <v>1</v>
      </c>
      <c r="C172" s="3" t="s">
        <v>524</v>
      </c>
      <c r="D172" s="3"/>
      <c r="E172" s="3" t="str">
        <f ca="1">IFERROR(__xludf.DUMMYFUNCTION("GOOGLETRANSLATE(J172, ""auto"", ""ko"")"),"에치나카지마 공원")</f>
        <v>에치나카지마 공원</v>
      </c>
      <c r="F172" s="3" t="s">
        <v>584</v>
      </c>
      <c r="G172" s="3"/>
      <c r="H172" s="3">
        <v>35.671689999999998</v>
      </c>
      <c r="I172" s="3">
        <v>139.78824</v>
      </c>
      <c r="J172" s="3" t="str">
        <f ca="1">IFERROR(__xludf.DUMMYFUNCTION("GOOGLETRANSLATE(N172, ""auto"", ""ko"")"),"도쿄도 에치나카지마 잇쵸메")</f>
        <v>도쿄도 에치나카지마 잇쵸메</v>
      </c>
      <c r="K172" s="3" t="str">
        <f ca="1">IFERROR(__xludf.DUMMYFUNCTION("GOOGLETRANSLATE(P172, ""auto"", ""ko"")"),"도쿄도")</f>
        <v>도쿄도</v>
      </c>
      <c r="L172" s="3" t="str">
        <f ca="1">IFERROR(__xludf.DUMMYFUNCTION("GOOGLETRANSLATE(R172, ""auto"", ""ko"")"),"에치나카지마 잇쵸메")</f>
        <v>에치나카지마 잇쵸메</v>
      </c>
      <c r="M172" s="3">
        <v>13108</v>
      </c>
      <c r="N172" s="4" t="s">
        <v>585</v>
      </c>
      <c r="O172" s="4" t="s">
        <v>586</v>
      </c>
      <c r="P172" s="3" t="s">
        <v>528</v>
      </c>
      <c r="Q172" s="3" t="s">
        <v>529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x14ac:dyDescent="0.2">
      <c r="A173" s="3">
        <v>255</v>
      </c>
      <c r="B173" s="3">
        <v>1</v>
      </c>
      <c r="C173" s="3" t="s">
        <v>524</v>
      </c>
      <c r="D173" s="3"/>
      <c r="E173" s="3" t="str">
        <f ca="1">IFERROR(__xludf.DUMMYFUNCTION("GOOGLETRANSLATE(J173, ""auto"", ""ko"")"),"국립경기장")</f>
        <v>국립경기장</v>
      </c>
      <c r="F173" s="3" t="s">
        <v>587</v>
      </c>
      <c r="G173" s="3"/>
      <c r="H173" s="3">
        <v>35.679650000000002</v>
      </c>
      <c r="I173" s="3">
        <v>139.71546000000001</v>
      </c>
      <c r="J173" s="3" t="str">
        <f ca="1">IFERROR(__xludf.DUMMYFUNCTION("GOOGLETRANSLATE(N173, ""auto"", ""ko"")"),"도쿄도 카스미가오카초")</f>
        <v>도쿄도 카스미가오카초</v>
      </c>
      <c r="K173" s="3" t="str">
        <f ca="1">IFERROR(__xludf.DUMMYFUNCTION("GOOGLETRANSLATE(P173, ""auto"", ""ko"")"),"도쿄도")</f>
        <v>도쿄도</v>
      </c>
      <c r="L173" s="3" t="str">
        <f ca="1">IFERROR(__xludf.DUMMYFUNCTION("GOOGLETRANSLATE(R173, ""auto"", ""ko"")"),"카스미가오카초")</f>
        <v>카스미가오카초</v>
      </c>
      <c r="M173" s="3">
        <v>13104</v>
      </c>
      <c r="N173" s="4" t="s">
        <v>588</v>
      </c>
      <c r="O173" s="4" t="s">
        <v>589</v>
      </c>
      <c r="P173" s="3" t="s">
        <v>528</v>
      </c>
      <c r="Q173" s="3" t="s">
        <v>529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x14ac:dyDescent="0.2">
      <c r="A174" s="3">
        <v>256</v>
      </c>
      <c r="B174" s="3">
        <v>1</v>
      </c>
      <c r="C174" s="3" t="s">
        <v>524</v>
      </c>
      <c r="D174" s="3"/>
      <c r="E174" s="3" t="str">
        <f ca="1">IFERROR(__xludf.DUMMYFUNCTION("GOOGLETRANSLATE(J174, ""auto"", ""ko"")"),"신 수")</f>
        <v>신 수</v>
      </c>
      <c r="F174" s="3" t="s">
        <v>590</v>
      </c>
      <c r="G174" s="3"/>
      <c r="H174" s="3">
        <v>35.69502</v>
      </c>
      <c r="I174" s="3">
        <v>139.70386999999999</v>
      </c>
      <c r="J174" s="3" t="str">
        <f ca="1">IFERROR(__xludf.DUMMYFUNCTION("GOOGLETRANSLATE(N174, ""auto"", ""ko"")"),"도쿄도 가부키초 니쵸메")</f>
        <v>도쿄도 가부키초 니쵸메</v>
      </c>
      <c r="K174" s="3" t="str">
        <f ca="1">IFERROR(__xludf.DUMMYFUNCTION("GOOGLETRANSLATE(P174, ""auto"", ""ko"")"),"도쿄도")</f>
        <v>도쿄도</v>
      </c>
      <c r="L174" s="3" t="str">
        <f ca="1">IFERROR(__xludf.DUMMYFUNCTION("GOOGLETRANSLATE(R174, ""auto"", ""ko"")"),"가부키초 니쵸메")</f>
        <v>가부키초 니쵸메</v>
      </c>
      <c r="M174" s="3">
        <v>13104</v>
      </c>
      <c r="N174" s="4" t="s">
        <v>591</v>
      </c>
      <c r="O174" s="4" t="s">
        <v>592</v>
      </c>
      <c r="P174" s="3" t="s">
        <v>528</v>
      </c>
      <c r="Q174" s="3" t="s">
        <v>529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2">
      <c r="A175" s="3">
        <v>257</v>
      </c>
      <c r="B175" s="3">
        <v>1</v>
      </c>
      <c r="C175" s="3" t="s">
        <v>524</v>
      </c>
      <c r="D175" s="3"/>
      <c r="E175" s="3" t="str">
        <f ca="1">IFERROR(__xludf.DUMMYFUNCTION("GOOGLETRANSLATE(J175, ""auto"", ""ko"")"),"호텔 labio")</f>
        <v>호텔 labio</v>
      </c>
      <c r="F175" s="3" t="s">
        <v>593</v>
      </c>
      <c r="G175" s="3"/>
      <c r="H175" s="3">
        <v>35.69605</v>
      </c>
      <c r="I175" s="3">
        <v>139.70285999999999</v>
      </c>
      <c r="J175" s="3" t="str">
        <f ca="1">IFERROR(__xludf.DUMMYFUNCTION("GOOGLETRANSLATE(N175, ""auto"", ""ko"")"),"도쿄도 가부키초 니쵸메")</f>
        <v>도쿄도 가부키초 니쵸메</v>
      </c>
      <c r="K175" s="3" t="str">
        <f ca="1">IFERROR(__xludf.DUMMYFUNCTION("GOOGLETRANSLATE(P175, ""auto"", ""ko"")"),"도쿄도")</f>
        <v>도쿄도</v>
      </c>
      <c r="L175" s="3" t="str">
        <f ca="1">IFERROR(__xludf.DUMMYFUNCTION("GOOGLETRANSLATE(R175, ""auto"", ""ko"")"),"가부키초 니쵸메")</f>
        <v>가부키초 니쵸메</v>
      </c>
      <c r="M175" s="3">
        <v>13104</v>
      </c>
      <c r="N175" s="4" t="s">
        <v>594</v>
      </c>
      <c r="O175" s="4" t="s">
        <v>595</v>
      </c>
      <c r="P175" s="3" t="s">
        <v>528</v>
      </c>
      <c r="Q175" s="3" t="s">
        <v>529</v>
      </c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x14ac:dyDescent="0.2">
      <c r="A176" s="3">
        <v>258</v>
      </c>
      <c r="B176" s="3">
        <v>1</v>
      </c>
      <c r="C176" s="3" t="s">
        <v>524</v>
      </c>
      <c r="D176" s="3"/>
      <c r="E176" s="3" t="str">
        <f ca="1">IFERROR(__xludf.DUMMYFUNCTION("GOOGLETRANSLATE(J176, ""auto"", ""ko"")"),"에코로 파크 가부키초 20")</f>
        <v>에코로 파크 가부키초 20</v>
      </c>
      <c r="F176" s="3" t="s">
        <v>596</v>
      </c>
      <c r="G176" s="3"/>
      <c r="H176" s="3">
        <v>35.695386800000001</v>
      </c>
      <c r="I176" s="3">
        <v>139.7056268</v>
      </c>
      <c r="J176" s="3" t="str">
        <f ca="1">IFERROR(__xludf.DUMMYFUNCTION("GOOGLETRANSLATE(N176, ""auto"", ""ko"")"),"도쿄도 가부키초 니쵸메")</f>
        <v>도쿄도 가부키초 니쵸메</v>
      </c>
      <c r="K176" s="3" t="str">
        <f ca="1">IFERROR(__xludf.DUMMYFUNCTION("GOOGLETRANSLATE(P176, ""auto"", ""ko"")"),"도쿄도")</f>
        <v>도쿄도</v>
      </c>
      <c r="L176" s="3" t="str">
        <f ca="1">IFERROR(__xludf.DUMMYFUNCTION("GOOGLETRANSLATE(R176, ""auto"", ""ko"")"),"가부키초 니쵸메")</f>
        <v>가부키초 니쵸메</v>
      </c>
      <c r="M176" s="3">
        <v>13104</v>
      </c>
      <c r="N176" s="4" t="s">
        <v>597</v>
      </c>
      <c r="O176" s="4" t="s">
        <v>598</v>
      </c>
      <c r="P176" s="3" t="s">
        <v>528</v>
      </c>
      <c r="Q176" s="3" t="s">
        <v>529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x14ac:dyDescent="0.2">
      <c r="A177" s="3">
        <v>259</v>
      </c>
      <c r="B177" s="3">
        <v>1</v>
      </c>
      <c r="C177" s="3" t="s">
        <v>524</v>
      </c>
      <c r="D177" s="3"/>
      <c r="E177" s="3" t="str">
        <f ca="1">IFERROR(__xludf.DUMMYFUNCTION("GOOGLETRANSLATE(J177, ""auto"", ""ko"")"),"소피아 빌딩 3")</f>
        <v>소피아 빌딩 3</v>
      </c>
      <c r="F177" s="3" t="s">
        <v>599</v>
      </c>
      <c r="G177" s="3"/>
      <c r="H177" s="3">
        <v>35.6949003</v>
      </c>
      <c r="I177" s="3">
        <v>139.70553939999999</v>
      </c>
      <c r="J177" s="3" t="str">
        <f ca="1">IFERROR(__xludf.DUMMYFUNCTION("GOOGLETRANSLATE(N177, ""auto"", ""ko"")"),"도쿄도 가부키초 니쵸메")</f>
        <v>도쿄도 가부키초 니쵸메</v>
      </c>
      <c r="K177" s="3" t="str">
        <f ca="1">IFERROR(__xludf.DUMMYFUNCTION("GOOGLETRANSLATE(P177, ""auto"", ""ko"")"),"도쿄도")</f>
        <v>도쿄도</v>
      </c>
      <c r="L177" s="3" t="str">
        <f ca="1">IFERROR(__xludf.DUMMYFUNCTION("GOOGLETRANSLATE(R177, ""auto"", ""ko"")"),"가부키초 니쵸메")</f>
        <v>가부키초 니쵸메</v>
      </c>
      <c r="M177" s="3">
        <v>13104</v>
      </c>
      <c r="N177" s="4" t="s">
        <v>600</v>
      </c>
      <c r="O177" s="4" t="s">
        <v>601</v>
      </c>
      <c r="P177" s="3" t="s">
        <v>528</v>
      </c>
      <c r="Q177" s="3" t="s">
        <v>529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x14ac:dyDescent="0.2">
      <c r="A178" s="3">
        <v>260</v>
      </c>
      <c r="B178" s="3">
        <v>1</v>
      </c>
      <c r="C178" s="3" t="s">
        <v>524</v>
      </c>
      <c r="D178" s="3"/>
      <c r="E178" s="3" t="str">
        <f ca="1">IFERROR(__xludf.DUMMYFUNCTION("GOOGLETRANSLATE(J178, ""auto"", ""ko"")"),"호텔 세리오")</f>
        <v>호텔 세리오</v>
      </c>
      <c r="F178" s="3" t="s">
        <v>602</v>
      </c>
      <c r="G178" s="3"/>
      <c r="H178" s="3">
        <v>35.697104400000001</v>
      </c>
      <c r="I178" s="3">
        <v>139.70598699999999</v>
      </c>
      <c r="J178" s="3" t="str">
        <f ca="1">IFERROR(__xludf.DUMMYFUNCTION("GOOGLETRANSLATE(N178, ""auto"", ""ko"")"),"도쿄도 가부키초 니쵸메")</f>
        <v>도쿄도 가부키초 니쵸메</v>
      </c>
      <c r="K178" s="3" t="str">
        <f ca="1">IFERROR(__xludf.DUMMYFUNCTION("GOOGLETRANSLATE(P178, ""auto"", ""ko"")"),"도쿄도")</f>
        <v>도쿄도</v>
      </c>
      <c r="L178" s="3" t="str">
        <f ca="1">IFERROR(__xludf.DUMMYFUNCTION("GOOGLETRANSLATE(R178, ""auto"", ""ko"")"),"가부키초 니쵸메")</f>
        <v>가부키초 니쵸메</v>
      </c>
      <c r="M178" s="3">
        <v>13104</v>
      </c>
      <c r="N178" s="4" t="s">
        <v>603</v>
      </c>
      <c r="O178" s="4" t="s">
        <v>604</v>
      </c>
      <c r="P178" s="3" t="s">
        <v>528</v>
      </c>
      <c r="Q178" s="3" t="s">
        <v>529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2">
      <c r="A179" s="3">
        <v>261</v>
      </c>
      <c r="B179" s="3">
        <v>1</v>
      </c>
      <c r="C179" s="3" t="s">
        <v>524</v>
      </c>
      <c r="D179" s="3"/>
      <c r="E179" s="3" t="str">
        <f ca="1">IFERROR(__xludf.DUMMYFUNCTION("GOOGLETRANSLATE(J179, ""auto"", ""ko"")"),"긴자 미츠코시")</f>
        <v>긴자 미츠코시</v>
      </c>
      <c r="F179" s="3" t="s">
        <v>605</v>
      </c>
      <c r="G179" s="3"/>
      <c r="H179" s="3">
        <v>35.67136</v>
      </c>
      <c r="I179" s="3">
        <v>139.76545999999999</v>
      </c>
      <c r="J179" s="3" t="str">
        <f ca="1">IFERROR(__xludf.DUMMYFUNCTION("GOOGLETRANSLATE(N179, ""auto"", ""ko"")"),"도쿄도 긴자 4초메")</f>
        <v>도쿄도 긴자 4초메</v>
      </c>
      <c r="K179" s="3" t="str">
        <f ca="1">IFERROR(__xludf.DUMMYFUNCTION("GOOGLETRANSLATE(P179, ""auto"", ""ko"")"),"도쿄도")</f>
        <v>도쿄도</v>
      </c>
      <c r="L179" s="3" t="str">
        <f ca="1">IFERROR(__xludf.DUMMYFUNCTION("GOOGLETRANSLATE(R179, ""auto"", ""ko"")"),"긴자 4초메")</f>
        <v>긴자 4초메</v>
      </c>
      <c r="M179" s="3">
        <v>13102</v>
      </c>
      <c r="N179" s="4" t="s">
        <v>606</v>
      </c>
      <c r="O179" s="4" t="s">
        <v>607</v>
      </c>
      <c r="P179" s="3" t="s">
        <v>528</v>
      </c>
      <c r="Q179" s="3" t="s">
        <v>529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2">
      <c r="A180" s="3">
        <v>262</v>
      </c>
      <c r="B180" s="3">
        <v>1</v>
      </c>
      <c r="C180" s="3" t="s">
        <v>524</v>
      </c>
      <c r="D180" s="3"/>
      <c r="E180" s="3" t="str">
        <f ca="1">IFERROR(__xludf.DUMMYFUNCTION("GOOGLETRANSLATE(J180, ""auto"", ""ko"")"),"오다이바 해변 공원의 전망 데크")</f>
        <v>오다이바 해변 공원의 전망 데크</v>
      </c>
      <c r="F180" s="3" t="s">
        <v>608</v>
      </c>
      <c r="G180" s="3" t="s">
        <v>609</v>
      </c>
      <c r="H180" s="3">
        <v>35.627460499999998</v>
      </c>
      <c r="I180" s="3">
        <v>139.77154340000001</v>
      </c>
      <c r="J180" s="3" t="str">
        <f ca="1">IFERROR(__xludf.DUMMYFUNCTION("GOOGLETRANSLATE(N180, ""auto"", ""ko"")"),"도쿄도 다이바 잇쵸메")</f>
        <v>도쿄도 다이바 잇쵸메</v>
      </c>
      <c r="K180" s="3" t="str">
        <f ca="1">IFERROR(__xludf.DUMMYFUNCTION("GOOGLETRANSLATE(P180, ""auto"", ""ko"")"),"도쿄도")</f>
        <v>도쿄도</v>
      </c>
      <c r="L180" s="3" t="str">
        <f ca="1">IFERROR(__xludf.DUMMYFUNCTION("GOOGLETRANSLATE(R180, ""auto"", ""ko"")"),"다이바 잇쵸메")</f>
        <v>다이바 잇쵸메</v>
      </c>
      <c r="M180" s="3">
        <v>13103</v>
      </c>
      <c r="N180" s="4" t="s">
        <v>610</v>
      </c>
      <c r="O180" s="4" t="s">
        <v>611</v>
      </c>
      <c r="P180" s="3" t="s">
        <v>528</v>
      </c>
      <c r="Q180" s="3" t="s">
        <v>529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x14ac:dyDescent="0.2">
      <c r="A181" s="3">
        <v>263</v>
      </c>
      <c r="B181" s="3">
        <v>1</v>
      </c>
      <c r="C181" s="3" t="s">
        <v>524</v>
      </c>
      <c r="D181" s="3"/>
      <c r="E181" s="3" t="str">
        <f ca="1">IFERROR(__xludf.DUMMYFUNCTION("GOOGLETRANSLATE(J181, ""auto"", ""ko"")"),"도쿄텔레포트역")</f>
        <v>도쿄텔레포트역</v>
      </c>
      <c r="F181" s="3" t="s">
        <v>612</v>
      </c>
      <c r="G181" s="3"/>
      <c r="H181" s="3">
        <v>35.627093100000003</v>
      </c>
      <c r="I181" s="3">
        <v>139.7795285</v>
      </c>
      <c r="J181" s="3" t="str">
        <f ca="1">IFERROR(__xludf.DUMMYFUNCTION("GOOGLETRANSLATE(N181, ""auto"", ""ko"")"),"도쿄도 아오미 잇쵸메")</f>
        <v>도쿄도 아오미 잇쵸메</v>
      </c>
      <c r="K181" s="3" t="str">
        <f ca="1">IFERROR(__xludf.DUMMYFUNCTION("GOOGLETRANSLATE(P181, ""auto"", ""ko"")"),"도쿄도")</f>
        <v>도쿄도</v>
      </c>
      <c r="L181" s="3" t="str">
        <f ca="1">IFERROR(__xludf.DUMMYFUNCTION("GOOGLETRANSLATE(R181, ""auto"", ""ko"")"),"아오미 잇쵸메")</f>
        <v>아오미 잇쵸메</v>
      </c>
      <c r="M181" s="3">
        <v>13108</v>
      </c>
      <c r="N181" s="4" t="s">
        <v>613</v>
      </c>
      <c r="O181" s="4" t="s">
        <v>614</v>
      </c>
      <c r="P181" s="3" t="s">
        <v>528</v>
      </c>
      <c r="Q181" s="3" t="s">
        <v>529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x14ac:dyDescent="0.2">
      <c r="A182" s="3">
        <v>264</v>
      </c>
      <c r="B182" s="3">
        <v>1</v>
      </c>
      <c r="C182" s="3" t="s">
        <v>524</v>
      </c>
      <c r="D182" s="3"/>
      <c r="E182" s="3" t="str">
        <f ca="1">IFERROR(__xludf.DUMMYFUNCTION("GOOGLETRANSLATE(J182, ""auto"", ""ko"")"),"영대교")</f>
        <v>영대교</v>
      </c>
      <c r="F182" s="3" t="s">
        <v>615</v>
      </c>
      <c r="G182" s="3" t="s">
        <v>616</v>
      </c>
      <c r="H182" s="3">
        <v>35.676369999999999</v>
      </c>
      <c r="I182" s="3">
        <v>139.78726</v>
      </c>
      <c r="J182" s="3" t="str">
        <f ca="1">IFERROR(__xludf.DUMMYFUNCTION("GOOGLETRANSLATE(N182, ""auto"", ""ko"")"),"도쿄도 신카와 잇쵸메")</f>
        <v>도쿄도 신카와 잇쵸메</v>
      </c>
      <c r="K182" s="3" t="str">
        <f ca="1">IFERROR(__xludf.DUMMYFUNCTION("GOOGLETRANSLATE(P182, ""auto"", ""ko"")"),"도쿄도")</f>
        <v>도쿄도</v>
      </c>
      <c r="L182" s="3" t="str">
        <f ca="1">IFERROR(__xludf.DUMMYFUNCTION("GOOGLETRANSLATE(R182, ""auto"", ""ko"")"),"신카와 잇쵸메")</f>
        <v>신카와 잇쵸메</v>
      </c>
      <c r="M182" s="3">
        <v>13102</v>
      </c>
      <c r="N182" s="4" t="s">
        <v>617</v>
      </c>
      <c r="O182" s="4" t="s">
        <v>618</v>
      </c>
      <c r="P182" s="3" t="s">
        <v>528</v>
      </c>
      <c r="Q182" s="3" t="s">
        <v>529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x14ac:dyDescent="0.2">
      <c r="A183" s="3">
        <v>265</v>
      </c>
      <c r="B183" s="3">
        <v>1</v>
      </c>
      <c r="C183" s="3" t="s">
        <v>524</v>
      </c>
      <c r="D183" s="3"/>
      <c r="E183" s="3" t="str">
        <f ca="1">IFERROR(__xludf.DUMMYFUNCTION("GOOGLETRANSLATE(J183, ""auto"", ""ko"")"),"스미다가와 테라스")</f>
        <v>스미다가와 테라스</v>
      </c>
      <c r="F183" s="3" t="s">
        <v>619</v>
      </c>
      <c r="G183" s="3"/>
      <c r="H183" s="3">
        <v>35.678060000000002</v>
      </c>
      <c r="I183" s="3">
        <v>139.78729000000001</v>
      </c>
      <c r="J183" s="3" t="str">
        <f ca="1">IFERROR(__xludf.DUMMYFUNCTION("GOOGLETRANSLATE(N183, ""auto"", ""ko"")"),"도쿄도 니혼바시 하코자키초")</f>
        <v>도쿄도 니혼바시 하코자키초</v>
      </c>
      <c r="K183" s="3" t="str">
        <f ca="1">IFERROR(__xludf.DUMMYFUNCTION("GOOGLETRANSLATE(P183, ""auto"", ""ko"")"),"도쿄도")</f>
        <v>도쿄도</v>
      </c>
      <c r="L183" s="3" t="str">
        <f ca="1">IFERROR(__xludf.DUMMYFUNCTION("GOOGLETRANSLATE(R183, ""auto"", ""ko"")"),"니혼바시 하코자키초")</f>
        <v>니혼바시 하코자키초</v>
      </c>
      <c r="M183" s="3">
        <v>13102</v>
      </c>
      <c r="N183" s="4" t="s">
        <v>620</v>
      </c>
      <c r="O183" s="4" t="s">
        <v>621</v>
      </c>
      <c r="P183" s="3" t="s">
        <v>528</v>
      </c>
      <c r="Q183" s="3" t="s">
        <v>529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2">
      <c r="A184" s="3">
        <v>266</v>
      </c>
      <c r="B184" s="3">
        <v>1</v>
      </c>
      <c r="C184" s="3" t="s">
        <v>524</v>
      </c>
      <c r="D184" s="3"/>
      <c r="E184" s="3" t="str">
        <f ca="1">IFERROR(__xludf.DUMMYFUNCTION("GOOGLETRANSLATE(J184, ""auto"", ""ko"")"),"시부야 스크램블 교차로")</f>
        <v>시부야 스크램블 교차로</v>
      </c>
      <c r="F184" s="3" t="s">
        <v>427</v>
      </c>
      <c r="G184" s="3"/>
      <c r="H184" s="3">
        <v>35.659500000000001</v>
      </c>
      <c r="I184" s="3">
        <v>139.70059000000001</v>
      </c>
      <c r="J184" s="3" t="str">
        <f ca="1">IFERROR(__xludf.DUMMYFUNCTION("GOOGLETRANSLATE(N184, ""auto"", ""ko"")"),"도쿄도 도겐자카 니쵸메")</f>
        <v>도쿄도 도겐자카 니쵸메</v>
      </c>
      <c r="K184" s="3" t="str">
        <f ca="1">IFERROR(__xludf.DUMMYFUNCTION("GOOGLETRANSLATE(P184, ""auto"", ""ko"")"),"도쿄도")</f>
        <v>도쿄도</v>
      </c>
      <c r="L184" s="3" t="str">
        <f ca="1">IFERROR(__xludf.DUMMYFUNCTION("GOOGLETRANSLATE(R184, ""auto"", ""ko"")"),"도겐자카 니쵸메")</f>
        <v>도겐자카 니쵸메</v>
      </c>
      <c r="M184" s="3">
        <v>13113</v>
      </c>
      <c r="N184" s="4" t="s">
        <v>622</v>
      </c>
      <c r="O184" s="4" t="s">
        <v>623</v>
      </c>
      <c r="P184" s="3" t="s">
        <v>528</v>
      </c>
      <c r="Q184" s="3" t="s">
        <v>529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2">
      <c r="A185" s="3">
        <v>267</v>
      </c>
      <c r="B185" s="3">
        <v>1</v>
      </c>
      <c r="C185" s="3" t="s">
        <v>524</v>
      </c>
      <c r="D185" s="3"/>
      <c r="E185" s="3" t="str">
        <f ca="1">IFERROR(__xludf.DUMMYFUNCTION("GOOGLETRANSLATE(J185, ""auto"", ""ko"")"),"초지 광장 (베이스 캠프 용지)")</f>
        <v>초지 광장 (베이스 캠프 용지)</v>
      </c>
      <c r="F185" s="3" t="s">
        <v>624</v>
      </c>
      <c r="G185" s="3"/>
      <c r="H185" s="3">
        <v>35.633310000000002</v>
      </c>
      <c r="I185" s="3">
        <v>139.79564999999999</v>
      </c>
      <c r="J185" s="3" t="str">
        <f ca="1">IFERROR(__xludf.DUMMYFUNCTION("GOOGLETRANSLATE(N185, ""auto"", ""ko"")"),"도쿄도 아리아케 3초메")</f>
        <v>도쿄도 아리아케 3초메</v>
      </c>
      <c r="K185" s="3" t="str">
        <f ca="1">IFERROR(__xludf.DUMMYFUNCTION("GOOGLETRANSLATE(P185, ""auto"", ""ko"")"),"도쿄도")</f>
        <v>도쿄도</v>
      </c>
      <c r="L185" s="3" t="str">
        <f ca="1">IFERROR(__xludf.DUMMYFUNCTION("GOOGLETRANSLATE(R185, ""auto"", ""ko"")"),"아리아케 3초메")</f>
        <v>아리아케 3초메</v>
      </c>
      <c r="M185" s="3">
        <v>13108</v>
      </c>
      <c r="N185" s="4" t="s">
        <v>625</v>
      </c>
      <c r="O185" s="4" t="s">
        <v>626</v>
      </c>
      <c r="P185" s="3" t="s">
        <v>528</v>
      </c>
      <c r="Q185" s="3" t="s">
        <v>529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2">
      <c r="A186" s="3">
        <v>268</v>
      </c>
      <c r="B186" s="3">
        <v>1</v>
      </c>
      <c r="C186" s="3" t="s">
        <v>524</v>
      </c>
      <c r="D186" s="3"/>
      <c r="E186" s="3" t="str">
        <f ca="1">IFERROR(__xludf.DUMMYFUNCTION("GOOGLETRANSLATE(J186, ""auto"", ""ko"")"),"카미나리몬")</f>
        <v>카미나리몬</v>
      </c>
      <c r="F186" s="3" t="s">
        <v>627</v>
      </c>
      <c r="G186" s="3" t="s">
        <v>628</v>
      </c>
      <c r="H186" s="3">
        <v>35.710932300000003</v>
      </c>
      <c r="I186" s="3">
        <v>139.79631190000001</v>
      </c>
      <c r="J186" s="3" t="str">
        <f ca="1">IFERROR(__xludf.DUMMYFUNCTION("GOOGLETRANSLATE(N186, ""auto"", ""ko"")"),"도쿄도 아사쿠사 잇쵸메")</f>
        <v>도쿄도 아사쿠사 잇쵸메</v>
      </c>
      <c r="K186" s="3" t="str">
        <f ca="1">IFERROR(__xludf.DUMMYFUNCTION("GOOGLETRANSLATE(P186, ""auto"", ""ko"")"),"도쿄도")</f>
        <v>도쿄도</v>
      </c>
      <c r="L186" s="3" t="str">
        <f ca="1">IFERROR(__xludf.DUMMYFUNCTION("GOOGLETRANSLATE(R186, ""auto"", ""ko"")"),"아사쿠사 잇쵸메")</f>
        <v>아사쿠사 잇쵸메</v>
      </c>
      <c r="M186" s="3">
        <v>13106</v>
      </c>
      <c r="N186" s="4" t="s">
        <v>629</v>
      </c>
      <c r="O186" s="4" t="s">
        <v>630</v>
      </c>
      <c r="P186" s="3" t="s">
        <v>528</v>
      </c>
      <c r="Q186" s="3" t="s">
        <v>529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2">
      <c r="A187" s="3">
        <v>269</v>
      </c>
      <c r="B187" s="3">
        <v>1</v>
      </c>
      <c r="C187" s="3" t="s">
        <v>524</v>
      </c>
      <c r="D187" s="3"/>
      <c r="E187" s="3" t="str">
        <f ca="1">IFERROR(__xludf.DUMMYFUNCTION("GOOGLETRANSLATE(J187, ""auto"", ""ko"")"),"롯폰기 힐즈 전망대 도쿄 시티뷰")</f>
        <v>롯폰기 힐즈 전망대 도쿄 시티뷰</v>
      </c>
      <c r="F187" s="3" t="s">
        <v>107</v>
      </c>
      <c r="G187" s="3"/>
      <c r="H187" s="3">
        <v>35.660403799999997</v>
      </c>
      <c r="I187" s="3">
        <v>139.72923829999999</v>
      </c>
      <c r="J187" s="3" t="str">
        <f ca="1">IFERROR(__xludf.DUMMYFUNCTION("GOOGLETRANSLATE(N187, ""auto"", ""ko"")"),"도쿄도 롯폰기 롯쵸메")</f>
        <v>도쿄도 롯폰기 롯쵸메</v>
      </c>
      <c r="K187" s="3" t="str">
        <f ca="1">IFERROR(__xludf.DUMMYFUNCTION("GOOGLETRANSLATE(P187, ""auto"", ""ko"")"),"도쿄도")</f>
        <v>도쿄도</v>
      </c>
      <c r="L187" s="3" t="str">
        <f ca="1">IFERROR(__xludf.DUMMYFUNCTION("GOOGLETRANSLATE(R187, ""auto"", ""ko"")"),"롯폰기 롯쵸메")</f>
        <v>롯폰기 롯쵸메</v>
      </c>
      <c r="M187" s="3">
        <v>13103</v>
      </c>
      <c r="N187" s="4" t="s">
        <v>631</v>
      </c>
      <c r="O187" s="4" t="s">
        <v>632</v>
      </c>
      <c r="P187" s="3" t="s">
        <v>528</v>
      </c>
      <c r="Q187" s="3" t="s">
        <v>529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2">
      <c r="A188" s="3">
        <v>270</v>
      </c>
      <c r="B188" s="3">
        <v>1</v>
      </c>
      <c r="C188" s="3" t="s">
        <v>524</v>
      </c>
      <c r="D188" s="3"/>
      <c r="E188" s="3" t="str">
        <f ca="1">IFERROR(__xludf.DUMMYFUNCTION("GOOGLETRANSLATE(J188, ""auto"", ""ko"")"),"니시신주쿠 프라임 스퀘어")</f>
        <v>니시신주쿠 프라임 스퀘어</v>
      </c>
      <c r="F188" s="3" t="s">
        <v>633</v>
      </c>
      <c r="G188" s="3"/>
      <c r="H188" s="3">
        <v>35.698189999999997</v>
      </c>
      <c r="I188" s="3">
        <v>139.6987</v>
      </c>
      <c r="J188" s="3" t="str">
        <f ca="1">IFERROR(__xludf.DUMMYFUNCTION("GOOGLETRANSLATE(N188, ""auto"", ""ko"")"),"도쿄도 백인초 잇쵸메")</f>
        <v>도쿄도 백인초 잇쵸메</v>
      </c>
      <c r="K188" s="3" t="str">
        <f ca="1">IFERROR(__xludf.DUMMYFUNCTION("GOOGLETRANSLATE(P188, ""auto"", ""ko"")"),"도쿄도")</f>
        <v>도쿄도</v>
      </c>
      <c r="L188" s="3" t="str">
        <f ca="1">IFERROR(__xludf.DUMMYFUNCTION("GOOGLETRANSLATE(R188, ""auto"", ""ko"")"),"백인초 잇쵸메")</f>
        <v>백인초 잇쵸메</v>
      </c>
      <c r="M188" s="3">
        <v>13104</v>
      </c>
      <c r="N188" s="4" t="s">
        <v>634</v>
      </c>
      <c r="O188" s="4" t="s">
        <v>635</v>
      </c>
      <c r="P188" s="3" t="s">
        <v>528</v>
      </c>
      <c r="Q188" s="3" t="s">
        <v>529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2">
      <c r="A189" s="3">
        <v>271</v>
      </c>
      <c r="B189" s="3">
        <v>1</v>
      </c>
      <c r="C189" s="3" t="s">
        <v>524</v>
      </c>
      <c r="D189" s="3"/>
      <c r="E189" s="3" t="str">
        <f ca="1">IFERROR(__xludf.DUMMYFUNCTION("GOOGLETRANSLATE(J189, ""auto"", ""ko"")"),"원카라 신주쿠대 가드점")</f>
        <v>원카라 신주쿠대 가드점</v>
      </c>
      <c r="F189" s="3" t="s">
        <v>636</v>
      </c>
      <c r="G189" s="3" t="s">
        <v>637</v>
      </c>
      <c r="H189" s="3">
        <v>35.694014000000003</v>
      </c>
      <c r="I189" s="3">
        <v>139.69947590000001</v>
      </c>
      <c r="J189" s="3" t="str">
        <f ca="1">IFERROR(__xludf.DUMMYFUNCTION("GOOGLETRANSLATE(N189, ""auto"", ""ko"")"),"도쿄도 니시신주쿠 나나초메")</f>
        <v>도쿄도 니시신주쿠 나나초메</v>
      </c>
      <c r="K189" s="3" t="str">
        <f ca="1">IFERROR(__xludf.DUMMYFUNCTION("GOOGLETRANSLATE(P189, ""auto"", ""ko"")"),"도쿄도")</f>
        <v>도쿄도</v>
      </c>
      <c r="L189" s="3" t="str">
        <f ca="1">IFERROR(__xludf.DUMMYFUNCTION("GOOGLETRANSLATE(R189, ""auto"", ""ko"")"),"니시신주쿠 나나초메")</f>
        <v>니시신주쿠 나나초메</v>
      </c>
      <c r="M189" s="3">
        <v>13104</v>
      </c>
      <c r="N189" s="4" t="s">
        <v>638</v>
      </c>
      <c r="O189" s="4" t="s">
        <v>639</v>
      </c>
      <c r="P189" s="3" t="s">
        <v>528</v>
      </c>
      <c r="Q189" s="3" t="s">
        <v>529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2">
      <c r="A190" s="3">
        <v>272</v>
      </c>
      <c r="B190" s="3">
        <v>1</v>
      </c>
      <c r="C190" s="3" t="s">
        <v>524</v>
      </c>
      <c r="D190" s="3"/>
      <c r="E190" s="3" t="str">
        <f ca="1">IFERROR(__xludf.DUMMYFUNCTION("GOOGLETRANSLATE(J190, ""auto"", ""ko"")"),"고토 구립 竪川 하천 부지 공원")</f>
        <v>고토 구립 竪川 하천 부지 공원</v>
      </c>
      <c r="F190" s="3" t="s">
        <v>640</v>
      </c>
      <c r="G190" s="3" t="s">
        <v>641</v>
      </c>
      <c r="H190" s="3">
        <v>35.693779999999997</v>
      </c>
      <c r="I190" s="3">
        <v>139.82903999999999</v>
      </c>
      <c r="J190" s="3" t="str">
        <f ca="1">IFERROR(__xludf.DUMMYFUNCTION("GOOGLETRANSLATE(N190, ""auto"", ""ko"")"),"도쿄도 오시마 산쵸메")</f>
        <v>도쿄도 오시마 산쵸메</v>
      </c>
      <c r="K190" s="3" t="str">
        <f ca="1">IFERROR(__xludf.DUMMYFUNCTION("GOOGLETRANSLATE(P190, ""auto"", ""ko"")"),"도쿄도")</f>
        <v>도쿄도</v>
      </c>
      <c r="L190" s="3" t="str">
        <f ca="1">IFERROR(__xludf.DUMMYFUNCTION("GOOGLETRANSLATE(R190, ""auto"", ""ko"")"),"오시마 산쵸메")</f>
        <v>오시마 산쵸메</v>
      </c>
      <c r="M190" s="3">
        <v>13108</v>
      </c>
      <c r="N190" s="4" t="s">
        <v>642</v>
      </c>
      <c r="O190" s="4" t="s">
        <v>643</v>
      </c>
      <c r="P190" s="3" t="s">
        <v>528</v>
      </c>
      <c r="Q190" s="3" t="s">
        <v>529</v>
      </c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2">
      <c r="A191" s="3">
        <v>273</v>
      </c>
      <c r="B191" s="3">
        <v>1</v>
      </c>
      <c r="C191" s="3" t="s">
        <v>524</v>
      </c>
      <c r="D191" s="3"/>
      <c r="E191" s="3" t="str">
        <f ca="1">IFERROR(__xludf.DUMMYFUNCTION("GOOGLETRANSLATE(J191, ""auto"", ""ko"")"),"미나토 구립 시바 공원")</f>
        <v>미나토 구립 시바 공원</v>
      </c>
      <c r="F191" s="3" t="s">
        <v>644</v>
      </c>
      <c r="G191" s="3"/>
      <c r="H191" s="3">
        <v>35.655389999999997</v>
      </c>
      <c r="I191" s="3">
        <v>139.7491</v>
      </c>
      <c r="J191" s="3" t="str">
        <f ca="1">IFERROR(__xludf.DUMMYFUNCTION("GOOGLETRANSLATE(N191, ""auto"", ""ko"")"),"도쿄도 시바 공원 시쵸메")</f>
        <v>도쿄도 시바 공원 시쵸메</v>
      </c>
      <c r="K191" s="3" t="str">
        <f ca="1">IFERROR(__xludf.DUMMYFUNCTION("GOOGLETRANSLATE(P191, ""auto"", ""ko"")"),"도쿄도")</f>
        <v>도쿄도</v>
      </c>
      <c r="L191" s="3" t="str">
        <f ca="1">IFERROR(__xludf.DUMMYFUNCTION("GOOGLETRANSLATE(R191, ""auto"", ""ko"")"),"시바 공원 요쵸메")</f>
        <v>시바 공원 요쵸메</v>
      </c>
      <c r="M191" s="3">
        <v>13103</v>
      </c>
      <c r="N191" s="4" t="s">
        <v>645</v>
      </c>
      <c r="O191" s="4" t="s">
        <v>646</v>
      </c>
      <c r="P191" s="3" t="s">
        <v>528</v>
      </c>
      <c r="Q191" s="3" t="s">
        <v>529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2">
      <c r="A192" s="3">
        <v>274</v>
      </c>
      <c r="B192" s="3">
        <v>1</v>
      </c>
      <c r="C192" s="3" t="s">
        <v>524</v>
      </c>
      <c r="D192" s="3"/>
      <c r="E192" s="3" t="str">
        <f ca="1">IFERROR(__xludf.DUMMYFUNCTION("GOOGLETRANSLATE(J192, ""auto"", ""ko"")"),"다이이치 인 이케부쿠로")</f>
        <v>다이이치 인 이케부쿠로</v>
      </c>
      <c r="F192" s="3" t="s">
        <v>647</v>
      </c>
      <c r="G192" s="3"/>
      <c r="H192" s="3">
        <v>35.731764900000002</v>
      </c>
      <c r="I192" s="3">
        <v>139.7125561</v>
      </c>
      <c r="J192" s="3" t="str">
        <f ca="1">IFERROR(__xludf.DUMMYFUNCTION("GOOGLETRANSLATE(N192, ""auto"", ""ko"")"),"도쿄도 히가시이케부쿠로 잇쵸메")</f>
        <v>도쿄도 히가시이케부쿠로 잇쵸메</v>
      </c>
      <c r="K192" s="3" t="str">
        <f ca="1">IFERROR(__xludf.DUMMYFUNCTION("GOOGLETRANSLATE(P192, ""auto"", ""ko"")"),"도쿄도")</f>
        <v>도쿄도</v>
      </c>
      <c r="L192" s="3" t="str">
        <f ca="1">IFERROR(__xludf.DUMMYFUNCTION("GOOGLETRANSLATE(R192, ""auto"", ""ko"")"),"히가시이케부쿠로 잇쵸메")</f>
        <v>히가시이케부쿠로 잇쵸메</v>
      </c>
      <c r="M192" s="3">
        <v>13116</v>
      </c>
      <c r="N192" s="4" t="s">
        <v>648</v>
      </c>
      <c r="O192" s="4" t="s">
        <v>649</v>
      </c>
      <c r="P192" s="3" t="s">
        <v>528</v>
      </c>
      <c r="Q192" s="3" t="s">
        <v>529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2">
      <c r="A193" s="3">
        <v>275</v>
      </c>
      <c r="B193" s="3">
        <v>1</v>
      </c>
      <c r="C193" s="3" t="s">
        <v>524</v>
      </c>
      <c r="D193" s="3"/>
      <c r="E193" s="3" t="str">
        <f ca="1">IFERROR(__xludf.DUMMYFUNCTION("GOOGLETRANSLATE(J193, ""auto"", ""ko"")"),"와이로드 (잡지가 타니 료도)")</f>
        <v>와이로드 (잡지가 타니 료도)</v>
      </c>
      <c r="F193" s="3" t="s">
        <v>650</v>
      </c>
      <c r="G193" s="3" t="s">
        <v>651</v>
      </c>
      <c r="H193" s="3">
        <v>35.731749999999998</v>
      </c>
      <c r="I193" s="3">
        <v>139.71142</v>
      </c>
      <c r="J193" s="3" t="str">
        <f ca="1">IFERROR(__xludf.DUMMYFUNCTION("GOOGLETRANSLATE(N193, ""auto"", ""ko"")"),"도쿄도 니시이케부쿠로 잇쵸메")</f>
        <v>도쿄도 니시이케부쿠로 잇쵸메</v>
      </c>
      <c r="K193" s="3" t="str">
        <f ca="1">IFERROR(__xludf.DUMMYFUNCTION("GOOGLETRANSLATE(P193, ""auto"", ""ko"")"),"도쿄도")</f>
        <v>도쿄도</v>
      </c>
      <c r="L193" s="3" t="str">
        <f ca="1">IFERROR(__xludf.DUMMYFUNCTION("GOOGLETRANSLATE(R193, ""auto"", ""ko"")"),"니시이케부쿠로 잇쵸메")</f>
        <v>니시이케부쿠로 잇쵸메</v>
      </c>
      <c r="M193" s="3">
        <v>13116</v>
      </c>
      <c r="N193" s="4" t="s">
        <v>652</v>
      </c>
      <c r="O193" s="4" t="s">
        <v>653</v>
      </c>
      <c r="P193" s="3" t="s">
        <v>528</v>
      </c>
      <c r="Q193" s="3" t="s">
        <v>529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2">
      <c r="A194" s="3">
        <v>276</v>
      </c>
      <c r="B194" s="3">
        <v>1</v>
      </c>
      <c r="C194" s="3" t="s">
        <v>524</v>
      </c>
      <c r="D194" s="3"/>
      <c r="E194" s="3" t="str">
        <f ca="1">IFERROR(__xludf.DUMMYFUNCTION("GOOGLETRANSLATE(J194, ""auto"", ""ko"")"),"이케부쿠로 기타 주륜장")</f>
        <v>이케부쿠로 기타 주륜장</v>
      </c>
      <c r="F194" s="3" t="s">
        <v>654</v>
      </c>
      <c r="G194" s="3"/>
      <c r="H194" s="3">
        <v>35.734228799999997</v>
      </c>
      <c r="I194" s="3">
        <v>139.71318890000001</v>
      </c>
      <c r="J194" s="3" t="str">
        <f ca="1">IFERROR(__xludf.DUMMYFUNCTION("GOOGLETRANSLATE(N194, ""auto"", ""ko"")"),"도쿄도 이케부쿠로 잇쵸메")</f>
        <v>도쿄도 이케부쿠로 잇쵸메</v>
      </c>
      <c r="K194" s="3" t="str">
        <f ca="1">IFERROR(__xludf.DUMMYFUNCTION("GOOGLETRANSLATE(P194, ""auto"", ""ko"")"),"도쿄도")</f>
        <v>도쿄도</v>
      </c>
      <c r="L194" s="3" t="str">
        <f ca="1">IFERROR(__xludf.DUMMYFUNCTION("GOOGLETRANSLATE(R194, ""auto"", ""ko"")"),"이케부쿠로 잇쵸메")</f>
        <v>이케부쿠로 잇쵸메</v>
      </c>
      <c r="M194" s="3">
        <v>13116</v>
      </c>
      <c r="N194" s="4" t="s">
        <v>655</v>
      </c>
      <c r="O194" s="4" t="s">
        <v>656</v>
      </c>
      <c r="P194" s="3" t="s">
        <v>528</v>
      </c>
      <c r="Q194" s="3" t="s">
        <v>529</v>
      </c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2">
      <c r="A195" s="3">
        <v>277</v>
      </c>
      <c r="B195" s="3">
        <v>1</v>
      </c>
      <c r="C195" s="3" t="s">
        <v>524</v>
      </c>
      <c r="D195" s="3"/>
      <c r="E195" s="3" t="str">
        <f ca="1">IFERROR(__xludf.DUMMYFUNCTION("GOOGLETRANSLATE(J195, ""auto"", ""ko"")"),"이케부쿠로 오하시")</f>
        <v>이케부쿠로 오하시</v>
      </c>
      <c r="F195" s="3" t="s">
        <v>657</v>
      </c>
      <c r="G195" s="3"/>
      <c r="H195" s="3">
        <v>35.734121899999998</v>
      </c>
      <c r="I195" s="3">
        <v>139.71382180000001</v>
      </c>
      <c r="J195" s="3" t="str">
        <f ca="1">IFERROR(__xludf.DUMMYFUNCTION("GOOGLETRANSLATE(N195, ""auto"", ""ko"")"),"도쿄도 카미이케부쿠로 니쵸메")</f>
        <v>도쿄도 카미이케부쿠로 니쵸메</v>
      </c>
      <c r="K195" s="3" t="str">
        <f ca="1">IFERROR(__xludf.DUMMYFUNCTION("GOOGLETRANSLATE(P195, ""auto"", ""ko"")"),"도쿄도")</f>
        <v>도쿄도</v>
      </c>
      <c r="L195" s="3" t="str">
        <f ca="1">IFERROR(__xludf.DUMMYFUNCTION("GOOGLETRANSLATE(R195, ""auto"", ""ko"")"),"카미이케부쿠로 니쵸메")</f>
        <v>카미이케부쿠로 니쵸메</v>
      </c>
      <c r="M195" s="3">
        <v>13116</v>
      </c>
      <c r="N195" s="4" t="s">
        <v>658</v>
      </c>
      <c r="O195" s="4" t="s">
        <v>659</v>
      </c>
      <c r="P195" s="3" t="s">
        <v>528</v>
      </c>
      <c r="Q195" s="3" t="s">
        <v>529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2">
      <c r="A196" s="3">
        <v>278</v>
      </c>
      <c r="B196" s="3">
        <v>1</v>
      </c>
      <c r="C196" s="3" t="s">
        <v>524</v>
      </c>
      <c r="D196" s="3"/>
      <c r="E196" s="3" t="str">
        <f ca="1">IFERROR(__xludf.DUMMYFUNCTION("GOOGLETRANSLATE(J196, ""auto"", ""ko"")"),"BOOKOFF 이케부쿠로 선샤인 60거리점")</f>
        <v>BOOKOFF 이케부쿠로 선샤인 60거리점</v>
      </c>
      <c r="F196" s="3" t="s">
        <v>660</v>
      </c>
      <c r="G196" s="3"/>
      <c r="H196" s="3">
        <v>35.730035700000002</v>
      </c>
      <c r="I196" s="3">
        <v>139.71595160000001</v>
      </c>
      <c r="J196" s="3" t="str">
        <f ca="1">IFERROR(__xludf.DUMMYFUNCTION("GOOGLETRANSLATE(N196, ""auto"", ""ko"")"),"도쿄도 히가시이케부쿠로 잇쵸메")</f>
        <v>도쿄도 히가시이케부쿠로 잇쵸메</v>
      </c>
      <c r="K196" s="3" t="str">
        <f ca="1">IFERROR(__xludf.DUMMYFUNCTION("GOOGLETRANSLATE(P196, ""auto"", ""ko"")"),"도쿄도")</f>
        <v>도쿄도</v>
      </c>
      <c r="L196" s="3" t="str">
        <f ca="1">IFERROR(__xludf.DUMMYFUNCTION("GOOGLETRANSLATE(R196, ""auto"", ""ko"")"),"히가시이케부쿠로 잇쵸메")</f>
        <v>히가시이케부쿠로 잇쵸메</v>
      </c>
      <c r="M196" s="3">
        <v>13116</v>
      </c>
      <c r="N196" s="4" t="s">
        <v>661</v>
      </c>
      <c r="O196" s="4" t="s">
        <v>662</v>
      </c>
      <c r="P196" s="3" t="s">
        <v>528</v>
      </c>
      <c r="Q196" s="3" t="s">
        <v>529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2">
      <c r="A197" s="3">
        <v>279</v>
      </c>
      <c r="B197" s="3">
        <v>1</v>
      </c>
      <c r="C197" s="3" t="s">
        <v>524</v>
      </c>
      <c r="D197" s="3"/>
      <c r="E197" s="3" t="str">
        <f ca="1">IFERROR(__xludf.DUMMYFUNCTION("GOOGLETRANSLATE(J197, ""auto"", ""ko"")"),"호텔 킹")</f>
        <v>호텔 킹</v>
      </c>
      <c r="F197" s="3" t="s">
        <v>663</v>
      </c>
      <c r="G197" s="3"/>
      <c r="H197" s="3">
        <v>35.7338539</v>
      </c>
      <c r="I197" s="3">
        <v>139.71274389999999</v>
      </c>
      <c r="J197" s="3" t="str">
        <f ca="1">IFERROR(__xludf.DUMMYFUNCTION("GOOGLETRANSLATE(N197, ""auto"", ""ko"")"),"도쿄도 이케부쿠로 잇쵸메")</f>
        <v>도쿄도 이케부쿠로 잇쵸메</v>
      </c>
      <c r="K197" s="3" t="str">
        <f ca="1">IFERROR(__xludf.DUMMYFUNCTION("GOOGLETRANSLATE(P197, ""auto"", ""ko"")"),"도쿄도")</f>
        <v>도쿄도</v>
      </c>
      <c r="L197" s="3" t="str">
        <f ca="1">IFERROR(__xludf.DUMMYFUNCTION("GOOGLETRANSLATE(R197, ""auto"", ""ko"")"),"이케부쿠로 잇쵸메")</f>
        <v>이케부쿠로 잇쵸메</v>
      </c>
      <c r="M197" s="3">
        <v>13116</v>
      </c>
      <c r="N197" s="4" t="s">
        <v>664</v>
      </c>
      <c r="O197" s="4" t="s">
        <v>665</v>
      </c>
      <c r="P197" s="3" t="s">
        <v>528</v>
      </c>
      <c r="Q197" s="3" t="s">
        <v>529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x14ac:dyDescent="0.2">
      <c r="A198" s="3">
        <v>280</v>
      </c>
      <c r="B198" s="3">
        <v>1</v>
      </c>
      <c r="C198" s="3" t="s">
        <v>524</v>
      </c>
      <c r="D198" s="3"/>
      <c r="E198" s="3" t="str">
        <f ca="1">IFERROR(__xludf.DUMMYFUNCTION("GOOGLETRANSLATE(J198, ""auto"", ""ko"")"),"유 약국")</f>
        <v>유 약국</v>
      </c>
      <c r="F198" s="3" t="s">
        <v>666</v>
      </c>
      <c r="G198" s="3"/>
      <c r="H198" s="3">
        <v>35.727696399999999</v>
      </c>
      <c r="I198" s="3">
        <v>139.70623810000001</v>
      </c>
      <c r="J198" s="3" t="str">
        <f ca="1">IFERROR(__xludf.DUMMYFUNCTION("GOOGLETRANSLATE(N198, ""auto"", ""ko"")"),"도쿄도 니시이케부쿠로 니쵸메")</f>
        <v>도쿄도 니시이케부쿠로 니쵸메</v>
      </c>
      <c r="K198" s="3" t="str">
        <f ca="1">IFERROR(__xludf.DUMMYFUNCTION("GOOGLETRANSLATE(P198, ""auto"", ""ko"")"),"도쿄도")</f>
        <v>도쿄도</v>
      </c>
      <c r="L198" s="3" t="str">
        <f ca="1">IFERROR(__xludf.DUMMYFUNCTION("GOOGLETRANSLATE(R198, ""auto"", ""ko"")"),"니시이케부쿠로 니쵸메")</f>
        <v>니시이케부쿠로 니쵸메</v>
      </c>
      <c r="M198" s="3">
        <v>13116</v>
      </c>
      <c r="N198" s="4" t="s">
        <v>667</v>
      </c>
      <c r="O198" s="4" t="s">
        <v>668</v>
      </c>
      <c r="P198" s="3" t="s">
        <v>528</v>
      </c>
      <c r="Q198" s="3" t="s">
        <v>529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x14ac:dyDescent="0.2">
      <c r="A199" s="3">
        <v>281</v>
      </c>
      <c r="B199" s="3">
        <v>1</v>
      </c>
      <c r="C199" s="3" t="s">
        <v>524</v>
      </c>
      <c r="D199" s="3"/>
      <c r="E199" s="3" t="str">
        <f ca="1">IFERROR(__xludf.DUMMYFUNCTION("GOOGLETRANSLATE(J199, ""auto"", ""ko"")"),"패밀리마트 메지로역 앞점")</f>
        <v>패밀리마트 메지로역 앞점</v>
      </c>
      <c r="F199" s="3" t="s">
        <v>669</v>
      </c>
      <c r="G199" s="3"/>
      <c r="H199" s="3">
        <v>35.722570099999999</v>
      </c>
      <c r="I199" s="3">
        <v>139.70474490000001</v>
      </c>
      <c r="J199" s="3" t="str">
        <f ca="1">IFERROR(__xludf.DUMMYFUNCTION("GOOGLETRANSLATE(N199, ""auto"", ""ko"")"),"도쿄도 메지로 산쵸메")</f>
        <v>도쿄도 메지로 산쵸메</v>
      </c>
      <c r="K199" s="3" t="str">
        <f ca="1">IFERROR(__xludf.DUMMYFUNCTION("GOOGLETRANSLATE(P199, ""auto"", ""ko"")"),"도쿄도")</f>
        <v>도쿄도</v>
      </c>
      <c r="L199" s="3" t="str">
        <f ca="1">IFERROR(__xludf.DUMMYFUNCTION("GOOGLETRANSLATE(R199, ""auto"", ""ko"")"),"메지로 산쵸메")</f>
        <v>메지로 산쵸메</v>
      </c>
      <c r="M199" s="3">
        <v>13116</v>
      </c>
      <c r="N199" s="4" t="s">
        <v>670</v>
      </c>
      <c r="O199" s="4" t="s">
        <v>671</v>
      </c>
      <c r="P199" s="3" t="s">
        <v>528</v>
      </c>
      <c r="Q199" s="3" t="s">
        <v>529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x14ac:dyDescent="0.2">
      <c r="A200" s="3">
        <v>282</v>
      </c>
      <c r="B200" s="3">
        <v>1</v>
      </c>
      <c r="C200" s="3" t="s">
        <v>524</v>
      </c>
      <c r="D200" s="3"/>
      <c r="E200" s="3" t="str">
        <f ca="1">IFERROR(__xludf.DUMMYFUNCTION("GOOGLETRANSLATE(J200, ""auto"", ""ko"")"),"카페 어콜릿 메지로")</f>
        <v>카페 어콜릿 메지로</v>
      </c>
      <c r="F200" s="3" t="s">
        <v>672</v>
      </c>
      <c r="G200" s="3"/>
      <c r="H200" s="3">
        <v>35.7216478</v>
      </c>
      <c r="I200" s="3">
        <v>139.70633380000001</v>
      </c>
      <c r="J200" s="3" t="str">
        <f ca="1">IFERROR(__xludf.DUMMYFUNCTION("GOOGLETRANSLATE(N200, ""auto"", ""ko"")"),"도쿄도 메지로 산쵸메")</f>
        <v>도쿄도 메지로 산쵸메</v>
      </c>
      <c r="K200" s="3" t="str">
        <f ca="1">IFERROR(__xludf.DUMMYFUNCTION("GOOGLETRANSLATE(P200, ""auto"", ""ko"")"),"도쿄도")</f>
        <v>도쿄도</v>
      </c>
      <c r="L200" s="3" t="str">
        <f ca="1">IFERROR(__xludf.DUMMYFUNCTION("GOOGLETRANSLATE(R200, ""auto"", ""ko"")"),"메지로 산쵸메")</f>
        <v>메지로 산쵸메</v>
      </c>
      <c r="M200" s="3">
        <v>13116</v>
      </c>
      <c r="N200" s="4" t="s">
        <v>673</v>
      </c>
      <c r="O200" s="4" t="s">
        <v>674</v>
      </c>
      <c r="P200" s="3" t="s">
        <v>528</v>
      </c>
      <c r="Q200" s="3" t="s">
        <v>529</v>
      </c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x14ac:dyDescent="0.2">
      <c r="A201" s="3">
        <v>283</v>
      </c>
      <c r="B201" s="3">
        <v>1</v>
      </c>
      <c r="C201" s="3" t="s">
        <v>524</v>
      </c>
      <c r="D201" s="3"/>
      <c r="E201" s="3" t="str">
        <f ca="1">IFERROR(__xludf.DUMMYFUNCTION("GOOGLETRANSLATE(J201, ""auto"", ""ko"")"),"LEGALAND 메지로 에키마에")</f>
        <v>LEGALAND 메지로 에키마에</v>
      </c>
      <c r="F201" s="3" t="s">
        <v>675</v>
      </c>
      <c r="G201" s="3"/>
      <c r="H201" s="3">
        <v>35.718249999999998</v>
      </c>
      <c r="I201" s="3">
        <v>139.70536999999999</v>
      </c>
      <c r="J201" s="3" t="str">
        <f ca="1">IFERROR(__xludf.DUMMYFUNCTION("GOOGLETRANSLATE(N201, ""auto"", ""ko"")"),"도쿄도 시모오치아이 2초메")</f>
        <v>도쿄도 시모오치아이 2초메</v>
      </c>
      <c r="K201" s="3" t="str">
        <f ca="1">IFERROR(__xludf.DUMMYFUNCTION("GOOGLETRANSLATE(P201, ""auto"", ""ko"")"),"도쿄도")</f>
        <v>도쿄도</v>
      </c>
      <c r="L201" s="3" t="str">
        <f ca="1">IFERROR(__xludf.DUMMYFUNCTION("GOOGLETRANSLATE(R201, ""auto"", ""ko"")"),"시모 오치 합니 쵸메")</f>
        <v>시모 오치 합니 쵸메</v>
      </c>
      <c r="M201" s="3">
        <v>13104</v>
      </c>
      <c r="N201" s="4" t="s">
        <v>676</v>
      </c>
      <c r="O201" s="4" t="s">
        <v>677</v>
      </c>
      <c r="P201" s="3" t="s">
        <v>528</v>
      </c>
      <c r="Q201" s="3" t="s">
        <v>529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x14ac:dyDescent="0.2">
      <c r="A202" s="3">
        <v>284</v>
      </c>
      <c r="B202" s="3">
        <v>1</v>
      </c>
      <c r="C202" s="3" t="s">
        <v>524</v>
      </c>
      <c r="D202" s="3"/>
      <c r="E202" s="3" t="str">
        <f ca="1">IFERROR(__xludf.DUMMYFUNCTION("GOOGLETRANSLATE(J202, ""auto"", ""ko"")"),"훨씬 전망대")</f>
        <v>훨씬 전망대</v>
      </c>
      <c r="F202" s="3" t="s">
        <v>678</v>
      </c>
      <c r="G202" s="3" t="s">
        <v>679</v>
      </c>
      <c r="H202" s="3">
        <v>34.203956499999997</v>
      </c>
      <c r="I202" s="3">
        <v>139.13376310000001</v>
      </c>
      <c r="J202" s="3" t="str">
        <f ca="1">IFERROR(__xludf.DUMMYFUNCTION("GOOGLETRANSLATE(N202, ""auto"", ""ko"")"),"도쿄도 -")</f>
        <v>도쿄도 -</v>
      </c>
      <c r="K202" s="3" t="str">
        <f ca="1">IFERROR(__xludf.DUMMYFUNCTION("GOOGLETRANSLATE(P202, ""auto"", ""ko"")"),"도쿄도")</f>
        <v>도쿄도</v>
      </c>
      <c r="L202" s="3" t="str">
        <f ca="1">IFERROR(__xludf.DUMMYFUNCTION("GOOGLETRANSLATE(R202, ""auto"", ""ko"")"),"−")</f>
        <v>−</v>
      </c>
      <c r="M202" s="3">
        <v>13364</v>
      </c>
      <c r="N202" s="4" t="s">
        <v>680</v>
      </c>
      <c r="O202" s="4" t="s">
        <v>681</v>
      </c>
      <c r="P202" s="3" t="s">
        <v>528</v>
      </c>
      <c r="Q202" s="3" t="s">
        <v>529</v>
      </c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x14ac:dyDescent="0.2">
      <c r="A203" s="3">
        <v>285</v>
      </c>
      <c r="B203" s="3">
        <v>1</v>
      </c>
      <c r="C203" s="3" t="s">
        <v>524</v>
      </c>
      <c r="D203" s="3"/>
      <c r="E203" s="3" t="str">
        <f ca="1">IFERROR(__xludf.DUMMYFUNCTION("GOOGLETRANSLATE(J203, ""auto"", ""ko"")"),"타바타역")</f>
        <v>타바타역</v>
      </c>
      <c r="F203" s="3" t="s">
        <v>682</v>
      </c>
      <c r="G203" s="3"/>
      <c r="H203" s="3">
        <v>35.736993200000001</v>
      </c>
      <c r="I203" s="3">
        <v>139.76186430000001</v>
      </c>
      <c r="J203" s="3" t="str">
        <f ca="1">IFERROR(__xludf.DUMMYFUNCTION("GOOGLETRANSLATE(N203, ""auto"", ""ko"")"),"도쿄도 히가시타바타 잇쵸메")</f>
        <v>도쿄도 히가시타바타 잇쵸메</v>
      </c>
      <c r="K203" s="3" t="str">
        <f ca="1">IFERROR(__xludf.DUMMYFUNCTION("GOOGLETRANSLATE(P203, ""auto"", ""ko"")"),"도쿄도")</f>
        <v>도쿄도</v>
      </c>
      <c r="L203" s="3" t="str">
        <f ca="1">IFERROR(__xludf.DUMMYFUNCTION("GOOGLETRANSLATE(R203, ""auto"", ""ko"")"),"히가시타바타 잇쵸메")</f>
        <v>히가시타바타 잇쵸메</v>
      </c>
      <c r="M203" s="3">
        <v>13117</v>
      </c>
      <c r="N203" s="4" t="s">
        <v>683</v>
      </c>
      <c r="O203" s="4" t="s">
        <v>684</v>
      </c>
      <c r="P203" s="3" t="s">
        <v>528</v>
      </c>
      <c r="Q203" s="3" t="s">
        <v>529</v>
      </c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</sheetData>
  <autoFilter ref="A1:AB203" xr:uid="{00000000-0009-0000-0000-000000000000}"/>
  <phoneticPr fontId="4" type="noConversion"/>
  <hyperlinks>
    <hyperlink ref="N2" r:id="rId1" xr:uid="{00000000-0004-0000-0000-000000000000}"/>
    <hyperlink ref="O2" r:id="rId2" xr:uid="{00000000-0004-0000-0000-000001000000}"/>
    <hyperlink ref="N3" r:id="rId3" xr:uid="{00000000-0004-0000-0000-000002000000}"/>
    <hyperlink ref="O3" r:id="rId4" xr:uid="{00000000-0004-0000-0000-000003000000}"/>
    <hyperlink ref="N4" r:id="rId5" xr:uid="{00000000-0004-0000-0000-000004000000}"/>
    <hyperlink ref="O4" r:id="rId6" xr:uid="{00000000-0004-0000-0000-000005000000}"/>
    <hyperlink ref="N5" r:id="rId7" xr:uid="{00000000-0004-0000-0000-000006000000}"/>
    <hyperlink ref="O5" r:id="rId8" xr:uid="{00000000-0004-0000-0000-000007000000}"/>
    <hyperlink ref="N6" r:id="rId9" xr:uid="{00000000-0004-0000-0000-000008000000}"/>
    <hyperlink ref="O6" r:id="rId10" xr:uid="{00000000-0004-0000-0000-000009000000}"/>
    <hyperlink ref="N7" r:id="rId11" xr:uid="{00000000-0004-0000-0000-00000A000000}"/>
    <hyperlink ref="O7" r:id="rId12" xr:uid="{00000000-0004-0000-0000-00000B000000}"/>
    <hyperlink ref="N8" r:id="rId13" xr:uid="{00000000-0004-0000-0000-00000C000000}"/>
    <hyperlink ref="O8" r:id="rId14" xr:uid="{00000000-0004-0000-0000-00000D000000}"/>
    <hyperlink ref="N9" r:id="rId15" xr:uid="{00000000-0004-0000-0000-00000E000000}"/>
    <hyperlink ref="O9" r:id="rId16" xr:uid="{00000000-0004-0000-0000-00000F000000}"/>
    <hyperlink ref="N10" r:id="rId17" xr:uid="{00000000-0004-0000-0000-000010000000}"/>
    <hyperlink ref="O10" r:id="rId18" xr:uid="{00000000-0004-0000-0000-000011000000}"/>
    <hyperlink ref="N11" r:id="rId19" xr:uid="{00000000-0004-0000-0000-000012000000}"/>
    <hyperlink ref="O11" r:id="rId20" xr:uid="{00000000-0004-0000-0000-000013000000}"/>
    <hyperlink ref="N12" r:id="rId21" xr:uid="{00000000-0004-0000-0000-000014000000}"/>
    <hyperlink ref="O12" r:id="rId22" xr:uid="{00000000-0004-0000-0000-000015000000}"/>
    <hyperlink ref="N13" r:id="rId23" xr:uid="{00000000-0004-0000-0000-000016000000}"/>
    <hyperlink ref="O13" r:id="rId24" xr:uid="{00000000-0004-0000-0000-000017000000}"/>
    <hyperlink ref="N14" r:id="rId25" xr:uid="{00000000-0004-0000-0000-000018000000}"/>
    <hyperlink ref="O14" r:id="rId26" xr:uid="{00000000-0004-0000-0000-000019000000}"/>
    <hyperlink ref="N15" r:id="rId27" xr:uid="{00000000-0004-0000-0000-00001A000000}"/>
    <hyperlink ref="O15" r:id="rId28" xr:uid="{00000000-0004-0000-0000-00001B000000}"/>
    <hyperlink ref="N16" r:id="rId29" xr:uid="{00000000-0004-0000-0000-00001C000000}"/>
    <hyperlink ref="O16" r:id="rId30" xr:uid="{00000000-0004-0000-0000-00001D000000}"/>
    <hyperlink ref="N17" r:id="rId31" xr:uid="{00000000-0004-0000-0000-00001E000000}"/>
    <hyperlink ref="O17" r:id="rId32" xr:uid="{00000000-0004-0000-0000-00001F000000}"/>
    <hyperlink ref="N18" r:id="rId33" xr:uid="{00000000-0004-0000-0000-000020000000}"/>
    <hyperlink ref="O18" r:id="rId34" xr:uid="{00000000-0004-0000-0000-000021000000}"/>
    <hyperlink ref="N19" r:id="rId35" xr:uid="{00000000-0004-0000-0000-000022000000}"/>
    <hyperlink ref="O19" r:id="rId36" xr:uid="{00000000-0004-0000-0000-000023000000}"/>
    <hyperlink ref="N20" r:id="rId37" xr:uid="{00000000-0004-0000-0000-000024000000}"/>
    <hyperlink ref="O20" r:id="rId38" xr:uid="{00000000-0004-0000-0000-000025000000}"/>
    <hyperlink ref="N21" r:id="rId39" xr:uid="{00000000-0004-0000-0000-000026000000}"/>
    <hyperlink ref="O21" r:id="rId40" xr:uid="{00000000-0004-0000-0000-000027000000}"/>
    <hyperlink ref="N22" r:id="rId41" xr:uid="{00000000-0004-0000-0000-000028000000}"/>
    <hyperlink ref="O22" r:id="rId42" xr:uid="{00000000-0004-0000-0000-000029000000}"/>
    <hyperlink ref="N23" r:id="rId43" xr:uid="{00000000-0004-0000-0000-00002A000000}"/>
    <hyperlink ref="O23" r:id="rId44" xr:uid="{00000000-0004-0000-0000-00002B000000}"/>
    <hyperlink ref="N24" r:id="rId45" xr:uid="{00000000-0004-0000-0000-00002C000000}"/>
    <hyperlink ref="O24" r:id="rId46" xr:uid="{00000000-0004-0000-0000-00002D000000}"/>
    <hyperlink ref="N25" r:id="rId47" xr:uid="{00000000-0004-0000-0000-00002E000000}"/>
    <hyperlink ref="O25" r:id="rId48" xr:uid="{00000000-0004-0000-0000-00002F000000}"/>
    <hyperlink ref="N26" r:id="rId49" xr:uid="{00000000-0004-0000-0000-000030000000}"/>
    <hyperlink ref="O26" r:id="rId50" xr:uid="{00000000-0004-0000-0000-000031000000}"/>
    <hyperlink ref="N27" r:id="rId51" xr:uid="{00000000-0004-0000-0000-000032000000}"/>
    <hyperlink ref="O27" r:id="rId52" xr:uid="{00000000-0004-0000-0000-000033000000}"/>
    <hyperlink ref="N28" r:id="rId53" xr:uid="{00000000-0004-0000-0000-000034000000}"/>
    <hyperlink ref="O28" r:id="rId54" xr:uid="{00000000-0004-0000-0000-000035000000}"/>
    <hyperlink ref="N29" r:id="rId55" xr:uid="{00000000-0004-0000-0000-000036000000}"/>
    <hyperlink ref="O29" r:id="rId56" xr:uid="{00000000-0004-0000-0000-000037000000}"/>
    <hyperlink ref="N30" r:id="rId57" xr:uid="{00000000-0004-0000-0000-000038000000}"/>
    <hyperlink ref="O30" r:id="rId58" xr:uid="{00000000-0004-0000-0000-000039000000}"/>
    <hyperlink ref="N31" r:id="rId59" xr:uid="{00000000-0004-0000-0000-00003A000000}"/>
    <hyperlink ref="O31" r:id="rId60" xr:uid="{00000000-0004-0000-0000-00003B000000}"/>
    <hyperlink ref="N32" r:id="rId61" xr:uid="{00000000-0004-0000-0000-00003C000000}"/>
    <hyperlink ref="O32" r:id="rId62" xr:uid="{00000000-0004-0000-0000-00003D000000}"/>
    <hyperlink ref="N33" r:id="rId63" xr:uid="{00000000-0004-0000-0000-00003E000000}"/>
    <hyperlink ref="O33" r:id="rId64" xr:uid="{00000000-0004-0000-0000-00003F000000}"/>
    <hyperlink ref="N34" r:id="rId65" xr:uid="{00000000-0004-0000-0000-000040000000}"/>
    <hyperlink ref="O34" r:id="rId66" xr:uid="{00000000-0004-0000-0000-000041000000}"/>
    <hyperlink ref="N35" r:id="rId67" xr:uid="{00000000-0004-0000-0000-000042000000}"/>
    <hyperlink ref="O35" r:id="rId68" xr:uid="{00000000-0004-0000-0000-000043000000}"/>
    <hyperlink ref="N36" r:id="rId69" xr:uid="{00000000-0004-0000-0000-000044000000}"/>
    <hyperlink ref="O36" r:id="rId70" xr:uid="{00000000-0004-0000-0000-000045000000}"/>
    <hyperlink ref="N37" r:id="rId71" xr:uid="{00000000-0004-0000-0000-000046000000}"/>
    <hyperlink ref="O37" r:id="rId72" xr:uid="{00000000-0004-0000-0000-000047000000}"/>
    <hyperlink ref="N38" r:id="rId73" xr:uid="{00000000-0004-0000-0000-000048000000}"/>
    <hyperlink ref="O38" r:id="rId74" xr:uid="{00000000-0004-0000-0000-000049000000}"/>
    <hyperlink ref="N39" r:id="rId75" xr:uid="{00000000-0004-0000-0000-00004A000000}"/>
    <hyperlink ref="O39" r:id="rId76" xr:uid="{00000000-0004-0000-0000-00004B000000}"/>
    <hyperlink ref="N40" r:id="rId77" xr:uid="{00000000-0004-0000-0000-00004C000000}"/>
    <hyperlink ref="O40" r:id="rId78" xr:uid="{00000000-0004-0000-0000-00004D000000}"/>
    <hyperlink ref="N41" r:id="rId79" xr:uid="{00000000-0004-0000-0000-00004E000000}"/>
    <hyperlink ref="O41" r:id="rId80" xr:uid="{00000000-0004-0000-0000-00004F000000}"/>
    <hyperlink ref="N42" r:id="rId81" xr:uid="{00000000-0004-0000-0000-000050000000}"/>
    <hyperlink ref="O42" r:id="rId82" xr:uid="{00000000-0004-0000-0000-000051000000}"/>
    <hyperlink ref="N43" r:id="rId83" xr:uid="{00000000-0004-0000-0000-000052000000}"/>
    <hyperlink ref="O43" r:id="rId84" xr:uid="{00000000-0004-0000-0000-000053000000}"/>
    <hyperlink ref="N44" r:id="rId85" xr:uid="{00000000-0004-0000-0000-000054000000}"/>
    <hyperlink ref="O44" r:id="rId86" xr:uid="{00000000-0004-0000-0000-000055000000}"/>
    <hyperlink ref="N45" r:id="rId87" xr:uid="{00000000-0004-0000-0000-000056000000}"/>
    <hyperlink ref="O45" r:id="rId88" xr:uid="{00000000-0004-0000-0000-000057000000}"/>
    <hyperlink ref="N46" r:id="rId89" xr:uid="{00000000-0004-0000-0000-000058000000}"/>
    <hyperlink ref="O46" r:id="rId90" xr:uid="{00000000-0004-0000-0000-000059000000}"/>
    <hyperlink ref="N47" r:id="rId91" xr:uid="{00000000-0004-0000-0000-00005A000000}"/>
    <hyperlink ref="O47" r:id="rId92" xr:uid="{00000000-0004-0000-0000-00005B000000}"/>
    <hyperlink ref="N48" r:id="rId93" xr:uid="{00000000-0004-0000-0000-00005C000000}"/>
    <hyperlink ref="O48" r:id="rId94" xr:uid="{00000000-0004-0000-0000-00005D000000}"/>
    <hyperlink ref="N49" r:id="rId95" xr:uid="{00000000-0004-0000-0000-00005E000000}"/>
    <hyperlink ref="O49" r:id="rId96" xr:uid="{00000000-0004-0000-0000-00005F000000}"/>
    <hyperlink ref="N50" r:id="rId97" xr:uid="{00000000-0004-0000-0000-000060000000}"/>
    <hyperlink ref="O50" r:id="rId98" xr:uid="{00000000-0004-0000-0000-000061000000}"/>
    <hyperlink ref="N51" r:id="rId99" xr:uid="{00000000-0004-0000-0000-000062000000}"/>
    <hyperlink ref="O51" r:id="rId100" xr:uid="{00000000-0004-0000-0000-000063000000}"/>
    <hyperlink ref="N52" r:id="rId101" xr:uid="{00000000-0004-0000-0000-000064000000}"/>
    <hyperlink ref="O52" r:id="rId102" xr:uid="{00000000-0004-0000-0000-000065000000}"/>
    <hyperlink ref="N53" r:id="rId103" xr:uid="{00000000-0004-0000-0000-000066000000}"/>
    <hyperlink ref="O53" r:id="rId104" xr:uid="{00000000-0004-0000-0000-000067000000}"/>
    <hyperlink ref="N54" r:id="rId105" xr:uid="{00000000-0004-0000-0000-000068000000}"/>
    <hyperlink ref="O54" r:id="rId106" xr:uid="{00000000-0004-0000-0000-000069000000}"/>
    <hyperlink ref="N55" r:id="rId107" xr:uid="{00000000-0004-0000-0000-00006A000000}"/>
    <hyperlink ref="O55" r:id="rId108" xr:uid="{00000000-0004-0000-0000-00006B000000}"/>
    <hyperlink ref="N56" r:id="rId109" xr:uid="{00000000-0004-0000-0000-00006C000000}"/>
    <hyperlink ref="O56" r:id="rId110" xr:uid="{00000000-0004-0000-0000-00006D000000}"/>
    <hyperlink ref="N57" r:id="rId111" xr:uid="{00000000-0004-0000-0000-00006E000000}"/>
    <hyperlink ref="O57" r:id="rId112" xr:uid="{00000000-0004-0000-0000-00006F000000}"/>
    <hyperlink ref="N58" r:id="rId113" xr:uid="{00000000-0004-0000-0000-000070000000}"/>
    <hyperlink ref="O58" r:id="rId114" xr:uid="{00000000-0004-0000-0000-000071000000}"/>
    <hyperlink ref="N59" r:id="rId115" xr:uid="{00000000-0004-0000-0000-000072000000}"/>
    <hyperlink ref="O59" r:id="rId116" xr:uid="{00000000-0004-0000-0000-000073000000}"/>
    <hyperlink ref="N60" r:id="rId117" xr:uid="{00000000-0004-0000-0000-000074000000}"/>
    <hyperlink ref="O60" r:id="rId118" xr:uid="{00000000-0004-0000-0000-000075000000}"/>
    <hyperlink ref="N61" r:id="rId119" xr:uid="{00000000-0004-0000-0000-000076000000}"/>
    <hyperlink ref="O61" r:id="rId120" xr:uid="{00000000-0004-0000-0000-000077000000}"/>
    <hyperlink ref="N62" r:id="rId121" xr:uid="{00000000-0004-0000-0000-000078000000}"/>
    <hyperlink ref="O62" r:id="rId122" xr:uid="{00000000-0004-0000-0000-000079000000}"/>
    <hyperlink ref="N63" r:id="rId123" xr:uid="{00000000-0004-0000-0000-00007A000000}"/>
    <hyperlink ref="O63" r:id="rId124" xr:uid="{00000000-0004-0000-0000-00007B000000}"/>
    <hyperlink ref="N64" r:id="rId125" xr:uid="{00000000-0004-0000-0000-00007C000000}"/>
    <hyperlink ref="O64" r:id="rId126" xr:uid="{00000000-0004-0000-0000-00007D000000}"/>
    <hyperlink ref="N65" r:id="rId127" xr:uid="{00000000-0004-0000-0000-00007E000000}"/>
    <hyperlink ref="O65" r:id="rId128" xr:uid="{00000000-0004-0000-0000-00007F000000}"/>
    <hyperlink ref="N66" r:id="rId129" xr:uid="{00000000-0004-0000-0000-000080000000}"/>
    <hyperlink ref="O66" r:id="rId130" xr:uid="{00000000-0004-0000-0000-000081000000}"/>
    <hyperlink ref="N67" r:id="rId131" xr:uid="{00000000-0004-0000-0000-000082000000}"/>
    <hyperlink ref="O67" r:id="rId132" xr:uid="{00000000-0004-0000-0000-000083000000}"/>
    <hyperlink ref="N68" r:id="rId133" xr:uid="{00000000-0004-0000-0000-000084000000}"/>
    <hyperlink ref="O68" r:id="rId134" xr:uid="{00000000-0004-0000-0000-000085000000}"/>
    <hyperlink ref="N69" r:id="rId135" xr:uid="{00000000-0004-0000-0000-000086000000}"/>
    <hyperlink ref="O69" r:id="rId136" xr:uid="{00000000-0004-0000-0000-000087000000}"/>
    <hyperlink ref="N70" r:id="rId137" xr:uid="{00000000-0004-0000-0000-000088000000}"/>
    <hyperlink ref="O70" r:id="rId138" xr:uid="{00000000-0004-0000-0000-000089000000}"/>
    <hyperlink ref="N71" r:id="rId139" xr:uid="{00000000-0004-0000-0000-00008A000000}"/>
    <hyperlink ref="O71" r:id="rId140" xr:uid="{00000000-0004-0000-0000-00008B000000}"/>
    <hyperlink ref="N72" r:id="rId141" xr:uid="{00000000-0004-0000-0000-00008C000000}"/>
    <hyperlink ref="O72" r:id="rId142" xr:uid="{00000000-0004-0000-0000-00008D000000}"/>
    <hyperlink ref="N73" r:id="rId143" xr:uid="{00000000-0004-0000-0000-00008E000000}"/>
    <hyperlink ref="O73" r:id="rId144" xr:uid="{00000000-0004-0000-0000-00008F000000}"/>
    <hyperlink ref="N74" r:id="rId145" xr:uid="{00000000-0004-0000-0000-000090000000}"/>
    <hyperlink ref="O74" r:id="rId146" xr:uid="{00000000-0004-0000-0000-000091000000}"/>
    <hyperlink ref="N75" r:id="rId147" xr:uid="{00000000-0004-0000-0000-000092000000}"/>
    <hyperlink ref="O75" r:id="rId148" xr:uid="{00000000-0004-0000-0000-000093000000}"/>
    <hyperlink ref="N76" r:id="rId149" xr:uid="{00000000-0004-0000-0000-000094000000}"/>
    <hyperlink ref="O76" r:id="rId150" xr:uid="{00000000-0004-0000-0000-000095000000}"/>
    <hyperlink ref="N77" r:id="rId151" xr:uid="{00000000-0004-0000-0000-000096000000}"/>
    <hyperlink ref="O77" r:id="rId152" xr:uid="{00000000-0004-0000-0000-000097000000}"/>
    <hyperlink ref="N78" r:id="rId153" xr:uid="{00000000-0004-0000-0000-000098000000}"/>
    <hyperlink ref="O78" r:id="rId154" xr:uid="{00000000-0004-0000-0000-000099000000}"/>
    <hyperlink ref="N79" r:id="rId155" xr:uid="{00000000-0004-0000-0000-00009A000000}"/>
    <hyperlink ref="O79" r:id="rId156" xr:uid="{00000000-0004-0000-0000-00009B000000}"/>
    <hyperlink ref="N80" r:id="rId157" xr:uid="{00000000-0004-0000-0000-00009C000000}"/>
    <hyperlink ref="O80" r:id="rId158" xr:uid="{00000000-0004-0000-0000-00009D000000}"/>
    <hyperlink ref="N81" r:id="rId159" xr:uid="{00000000-0004-0000-0000-00009E000000}"/>
    <hyperlink ref="O81" r:id="rId160" xr:uid="{00000000-0004-0000-0000-00009F000000}"/>
    <hyperlink ref="N82" r:id="rId161" xr:uid="{00000000-0004-0000-0000-0000A0000000}"/>
    <hyperlink ref="O82" r:id="rId162" xr:uid="{00000000-0004-0000-0000-0000A1000000}"/>
    <hyperlink ref="N83" r:id="rId163" xr:uid="{00000000-0004-0000-0000-0000A2000000}"/>
    <hyperlink ref="O83" r:id="rId164" xr:uid="{00000000-0004-0000-0000-0000A3000000}"/>
    <hyperlink ref="N84" r:id="rId165" xr:uid="{00000000-0004-0000-0000-0000A4000000}"/>
    <hyperlink ref="O84" r:id="rId166" xr:uid="{00000000-0004-0000-0000-0000A5000000}"/>
    <hyperlink ref="N85" r:id="rId167" xr:uid="{00000000-0004-0000-0000-0000A6000000}"/>
    <hyperlink ref="O85" r:id="rId168" xr:uid="{00000000-0004-0000-0000-0000A7000000}"/>
    <hyperlink ref="N86" r:id="rId169" xr:uid="{00000000-0004-0000-0000-0000A8000000}"/>
    <hyperlink ref="O86" r:id="rId170" xr:uid="{00000000-0004-0000-0000-0000A9000000}"/>
    <hyperlink ref="N87" r:id="rId171" xr:uid="{00000000-0004-0000-0000-0000AA000000}"/>
    <hyperlink ref="O87" r:id="rId172" xr:uid="{00000000-0004-0000-0000-0000AB000000}"/>
    <hyperlink ref="N88" r:id="rId173" xr:uid="{00000000-0004-0000-0000-0000AC000000}"/>
    <hyperlink ref="O88" r:id="rId174" xr:uid="{00000000-0004-0000-0000-0000AD000000}"/>
    <hyperlink ref="N89" r:id="rId175" xr:uid="{00000000-0004-0000-0000-0000AE000000}"/>
    <hyperlink ref="O89" r:id="rId176" xr:uid="{00000000-0004-0000-0000-0000AF000000}"/>
    <hyperlink ref="N90" r:id="rId177" xr:uid="{00000000-0004-0000-0000-0000B0000000}"/>
    <hyperlink ref="O90" r:id="rId178" xr:uid="{00000000-0004-0000-0000-0000B1000000}"/>
    <hyperlink ref="N91" r:id="rId179" xr:uid="{00000000-0004-0000-0000-0000B2000000}"/>
    <hyperlink ref="O91" r:id="rId180" xr:uid="{00000000-0004-0000-0000-0000B3000000}"/>
    <hyperlink ref="N92" r:id="rId181" xr:uid="{00000000-0004-0000-0000-0000B4000000}"/>
    <hyperlink ref="O92" r:id="rId182" xr:uid="{00000000-0004-0000-0000-0000B5000000}"/>
    <hyperlink ref="N93" r:id="rId183" xr:uid="{00000000-0004-0000-0000-0000B6000000}"/>
    <hyperlink ref="O93" r:id="rId184" xr:uid="{00000000-0004-0000-0000-0000B7000000}"/>
    <hyperlink ref="N94" r:id="rId185" xr:uid="{00000000-0004-0000-0000-0000B8000000}"/>
    <hyperlink ref="O94" r:id="rId186" xr:uid="{00000000-0004-0000-0000-0000B9000000}"/>
    <hyperlink ref="N95" r:id="rId187" xr:uid="{00000000-0004-0000-0000-0000BA000000}"/>
    <hyperlink ref="O95" r:id="rId188" xr:uid="{00000000-0004-0000-0000-0000BB000000}"/>
    <hyperlink ref="N96" r:id="rId189" xr:uid="{00000000-0004-0000-0000-0000BC000000}"/>
    <hyperlink ref="O96" r:id="rId190" xr:uid="{00000000-0004-0000-0000-0000BD000000}"/>
    <hyperlink ref="N97" r:id="rId191" xr:uid="{00000000-0004-0000-0000-0000BE000000}"/>
    <hyperlink ref="O97" r:id="rId192" xr:uid="{00000000-0004-0000-0000-0000BF000000}"/>
    <hyperlink ref="N98" r:id="rId193" xr:uid="{00000000-0004-0000-0000-0000C0000000}"/>
    <hyperlink ref="O98" r:id="rId194" xr:uid="{00000000-0004-0000-0000-0000C1000000}"/>
    <hyperlink ref="N99" r:id="rId195" xr:uid="{00000000-0004-0000-0000-0000C2000000}"/>
    <hyperlink ref="O99" r:id="rId196" xr:uid="{00000000-0004-0000-0000-0000C3000000}"/>
    <hyperlink ref="N100" r:id="rId197" xr:uid="{00000000-0004-0000-0000-0000C4000000}"/>
    <hyperlink ref="O100" r:id="rId198" xr:uid="{00000000-0004-0000-0000-0000C5000000}"/>
    <hyperlink ref="N101" r:id="rId199" xr:uid="{00000000-0004-0000-0000-0000C6000000}"/>
    <hyperlink ref="O101" r:id="rId200" xr:uid="{00000000-0004-0000-0000-0000C7000000}"/>
    <hyperlink ref="N102" r:id="rId201" xr:uid="{00000000-0004-0000-0000-0000C8000000}"/>
    <hyperlink ref="O102" r:id="rId202" xr:uid="{00000000-0004-0000-0000-0000C9000000}"/>
    <hyperlink ref="N103" r:id="rId203" xr:uid="{00000000-0004-0000-0000-0000CA000000}"/>
    <hyperlink ref="O103" r:id="rId204" xr:uid="{00000000-0004-0000-0000-0000CB000000}"/>
    <hyperlink ref="N104" r:id="rId205" xr:uid="{00000000-0004-0000-0000-0000CC000000}"/>
    <hyperlink ref="O104" r:id="rId206" xr:uid="{00000000-0004-0000-0000-0000CD000000}"/>
    <hyperlink ref="N105" r:id="rId207" xr:uid="{00000000-0004-0000-0000-0000CE000000}"/>
    <hyperlink ref="O105" r:id="rId208" xr:uid="{00000000-0004-0000-0000-0000CF000000}"/>
    <hyperlink ref="N106" r:id="rId209" xr:uid="{00000000-0004-0000-0000-0000D0000000}"/>
    <hyperlink ref="O106" r:id="rId210" xr:uid="{00000000-0004-0000-0000-0000D1000000}"/>
    <hyperlink ref="N107" r:id="rId211" xr:uid="{00000000-0004-0000-0000-0000D2000000}"/>
    <hyperlink ref="O107" r:id="rId212" xr:uid="{00000000-0004-0000-0000-0000D3000000}"/>
    <hyperlink ref="N108" r:id="rId213" xr:uid="{00000000-0004-0000-0000-0000D4000000}"/>
    <hyperlink ref="O108" r:id="rId214" xr:uid="{00000000-0004-0000-0000-0000D5000000}"/>
    <hyperlink ref="N109" r:id="rId215" xr:uid="{00000000-0004-0000-0000-0000D6000000}"/>
    <hyperlink ref="O109" r:id="rId216" xr:uid="{00000000-0004-0000-0000-0000D7000000}"/>
    <hyperlink ref="N110" r:id="rId217" xr:uid="{00000000-0004-0000-0000-0000D8000000}"/>
    <hyperlink ref="O110" r:id="rId218" xr:uid="{00000000-0004-0000-0000-0000D9000000}"/>
    <hyperlink ref="N111" r:id="rId219" xr:uid="{00000000-0004-0000-0000-0000DA000000}"/>
    <hyperlink ref="O111" r:id="rId220" xr:uid="{00000000-0004-0000-0000-0000DB000000}"/>
    <hyperlink ref="N112" r:id="rId221" xr:uid="{00000000-0004-0000-0000-0000DC000000}"/>
    <hyperlink ref="O112" r:id="rId222" xr:uid="{00000000-0004-0000-0000-0000DD000000}"/>
    <hyperlink ref="N113" r:id="rId223" xr:uid="{00000000-0004-0000-0000-0000DE000000}"/>
    <hyperlink ref="O113" r:id="rId224" xr:uid="{00000000-0004-0000-0000-0000DF000000}"/>
    <hyperlink ref="N114" r:id="rId225" xr:uid="{00000000-0004-0000-0000-0000E0000000}"/>
    <hyperlink ref="O114" r:id="rId226" xr:uid="{00000000-0004-0000-0000-0000E1000000}"/>
    <hyperlink ref="N115" r:id="rId227" xr:uid="{00000000-0004-0000-0000-0000E2000000}"/>
    <hyperlink ref="O115" r:id="rId228" xr:uid="{00000000-0004-0000-0000-0000E3000000}"/>
    <hyperlink ref="N116" r:id="rId229" xr:uid="{00000000-0004-0000-0000-0000E4000000}"/>
    <hyperlink ref="O116" r:id="rId230" xr:uid="{00000000-0004-0000-0000-0000E5000000}"/>
    <hyperlink ref="N117" r:id="rId231" xr:uid="{00000000-0004-0000-0000-0000E6000000}"/>
    <hyperlink ref="O117" r:id="rId232" xr:uid="{00000000-0004-0000-0000-0000E7000000}"/>
    <hyperlink ref="N118" r:id="rId233" xr:uid="{00000000-0004-0000-0000-0000E8000000}"/>
    <hyperlink ref="O118" r:id="rId234" xr:uid="{00000000-0004-0000-0000-0000E9000000}"/>
    <hyperlink ref="N119" r:id="rId235" xr:uid="{00000000-0004-0000-0000-0000EA000000}"/>
    <hyperlink ref="O119" r:id="rId236" xr:uid="{00000000-0004-0000-0000-0000EB000000}"/>
    <hyperlink ref="N120" r:id="rId237" xr:uid="{00000000-0004-0000-0000-0000EC000000}"/>
    <hyperlink ref="O120" r:id="rId238" xr:uid="{00000000-0004-0000-0000-0000ED000000}"/>
    <hyperlink ref="N121" r:id="rId239" xr:uid="{00000000-0004-0000-0000-0000EE000000}"/>
    <hyperlink ref="O121" r:id="rId240" xr:uid="{00000000-0004-0000-0000-0000EF000000}"/>
    <hyperlink ref="N122" r:id="rId241" xr:uid="{00000000-0004-0000-0000-0000F0000000}"/>
    <hyperlink ref="O122" r:id="rId242" xr:uid="{00000000-0004-0000-0000-0000F1000000}"/>
    <hyperlink ref="N123" r:id="rId243" xr:uid="{00000000-0004-0000-0000-0000F2000000}"/>
    <hyperlink ref="O123" r:id="rId244" xr:uid="{00000000-0004-0000-0000-0000F3000000}"/>
    <hyperlink ref="N124" r:id="rId245" xr:uid="{00000000-0004-0000-0000-0000F4000000}"/>
    <hyperlink ref="O124" r:id="rId246" xr:uid="{00000000-0004-0000-0000-0000F5000000}"/>
    <hyperlink ref="N125" r:id="rId247" xr:uid="{00000000-0004-0000-0000-0000F6000000}"/>
    <hyperlink ref="O125" r:id="rId248" xr:uid="{00000000-0004-0000-0000-0000F7000000}"/>
    <hyperlink ref="N126" r:id="rId249" xr:uid="{00000000-0004-0000-0000-0000F8000000}"/>
    <hyperlink ref="O126" r:id="rId250" xr:uid="{00000000-0004-0000-0000-0000F9000000}"/>
    <hyperlink ref="N127" r:id="rId251" xr:uid="{00000000-0004-0000-0000-0000FA000000}"/>
    <hyperlink ref="O127" r:id="rId252" xr:uid="{00000000-0004-0000-0000-0000FB000000}"/>
    <hyperlink ref="N128" r:id="rId253" xr:uid="{00000000-0004-0000-0000-0000FC000000}"/>
    <hyperlink ref="O128" r:id="rId254" xr:uid="{00000000-0004-0000-0000-0000FD000000}"/>
    <hyperlink ref="N129" r:id="rId255" xr:uid="{00000000-0004-0000-0000-0000FE000000}"/>
    <hyperlink ref="O129" r:id="rId256" xr:uid="{00000000-0004-0000-0000-0000FF000000}"/>
    <hyperlink ref="N130" r:id="rId257" xr:uid="{00000000-0004-0000-0000-000000010000}"/>
    <hyperlink ref="O130" r:id="rId258" xr:uid="{00000000-0004-0000-0000-000001010000}"/>
    <hyperlink ref="N131" r:id="rId259" xr:uid="{00000000-0004-0000-0000-000002010000}"/>
    <hyperlink ref="O131" r:id="rId260" xr:uid="{00000000-0004-0000-0000-000003010000}"/>
    <hyperlink ref="N132" r:id="rId261" xr:uid="{00000000-0004-0000-0000-000004010000}"/>
    <hyperlink ref="O132" r:id="rId262" xr:uid="{00000000-0004-0000-0000-000005010000}"/>
    <hyperlink ref="N133" r:id="rId263" xr:uid="{00000000-0004-0000-0000-000006010000}"/>
    <hyperlink ref="O133" r:id="rId264" xr:uid="{00000000-0004-0000-0000-000007010000}"/>
    <hyperlink ref="N134" r:id="rId265" xr:uid="{00000000-0004-0000-0000-000008010000}"/>
    <hyperlink ref="O134" r:id="rId266" xr:uid="{00000000-0004-0000-0000-000009010000}"/>
    <hyperlink ref="N135" r:id="rId267" xr:uid="{00000000-0004-0000-0000-00000A010000}"/>
    <hyperlink ref="O135" r:id="rId268" xr:uid="{00000000-0004-0000-0000-00000B010000}"/>
    <hyperlink ref="N136" r:id="rId269" xr:uid="{00000000-0004-0000-0000-00000C010000}"/>
    <hyperlink ref="O136" r:id="rId270" xr:uid="{00000000-0004-0000-0000-00000D010000}"/>
    <hyperlink ref="N137" r:id="rId271" xr:uid="{00000000-0004-0000-0000-00000E010000}"/>
    <hyperlink ref="O137" r:id="rId272" xr:uid="{00000000-0004-0000-0000-00000F010000}"/>
    <hyperlink ref="N138" r:id="rId273" xr:uid="{00000000-0004-0000-0000-000010010000}"/>
    <hyperlink ref="O138" r:id="rId274" xr:uid="{00000000-0004-0000-0000-000011010000}"/>
    <hyperlink ref="N139" r:id="rId275" xr:uid="{00000000-0004-0000-0000-000012010000}"/>
    <hyperlink ref="O139" r:id="rId276" xr:uid="{00000000-0004-0000-0000-000013010000}"/>
    <hyperlink ref="N140" r:id="rId277" xr:uid="{00000000-0004-0000-0000-000014010000}"/>
    <hyperlink ref="O140" r:id="rId278" xr:uid="{00000000-0004-0000-0000-000015010000}"/>
    <hyperlink ref="N141" r:id="rId279" xr:uid="{00000000-0004-0000-0000-000016010000}"/>
    <hyperlink ref="O141" r:id="rId280" xr:uid="{00000000-0004-0000-0000-000017010000}"/>
    <hyperlink ref="N142" r:id="rId281" xr:uid="{00000000-0004-0000-0000-000018010000}"/>
    <hyperlink ref="O142" r:id="rId282" xr:uid="{00000000-0004-0000-0000-000019010000}"/>
    <hyperlink ref="N143" r:id="rId283" xr:uid="{00000000-0004-0000-0000-00001A010000}"/>
    <hyperlink ref="O143" r:id="rId284" xr:uid="{00000000-0004-0000-0000-00001B010000}"/>
    <hyperlink ref="N144" r:id="rId285" xr:uid="{00000000-0004-0000-0000-00001C010000}"/>
    <hyperlink ref="O144" r:id="rId286" xr:uid="{00000000-0004-0000-0000-00001D010000}"/>
    <hyperlink ref="N145" r:id="rId287" xr:uid="{00000000-0004-0000-0000-00001E010000}"/>
    <hyperlink ref="O145" r:id="rId288" xr:uid="{00000000-0004-0000-0000-00001F010000}"/>
    <hyperlink ref="N146" r:id="rId289" xr:uid="{00000000-0004-0000-0000-000020010000}"/>
    <hyperlink ref="O146" r:id="rId290" xr:uid="{00000000-0004-0000-0000-000021010000}"/>
    <hyperlink ref="N147" r:id="rId291" xr:uid="{00000000-0004-0000-0000-000022010000}"/>
    <hyperlink ref="O147" r:id="rId292" xr:uid="{00000000-0004-0000-0000-000023010000}"/>
    <hyperlink ref="N148" r:id="rId293" xr:uid="{00000000-0004-0000-0000-000024010000}"/>
    <hyperlink ref="O148" r:id="rId294" xr:uid="{00000000-0004-0000-0000-000025010000}"/>
    <hyperlink ref="N149" r:id="rId295" xr:uid="{00000000-0004-0000-0000-000026010000}"/>
    <hyperlink ref="O149" r:id="rId296" xr:uid="{00000000-0004-0000-0000-000027010000}"/>
    <hyperlink ref="N150" r:id="rId297" xr:uid="{00000000-0004-0000-0000-000028010000}"/>
    <hyperlink ref="O150" r:id="rId298" xr:uid="{00000000-0004-0000-0000-000029010000}"/>
    <hyperlink ref="N151" r:id="rId299" xr:uid="{00000000-0004-0000-0000-00002A010000}"/>
    <hyperlink ref="O151" r:id="rId300" xr:uid="{00000000-0004-0000-0000-00002B010000}"/>
    <hyperlink ref="N152" r:id="rId301" xr:uid="{00000000-0004-0000-0000-00002C010000}"/>
    <hyperlink ref="O152" r:id="rId302" xr:uid="{00000000-0004-0000-0000-00002D010000}"/>
    <hyperlink ref="N153" r:id="rId303" xr:uid="{00000000-0004-0000-0000-00002E010000}"/>
    <hyperlink ref="O153" r:id="rId304" xr:uid="{00000000-0004-0000-0000-00002F010000}"/>
    <hyperlink ref="N154" r:id="rId305" xr:uid="{00000000-0004-0000-0000-000030010000}"/>
    <hyperlink ref="O154" r:id="rId306" xr:uid="{00000000-0004-0000-0000-000031010000}"/>
    <hyperlink ref="N155" r:id="rId307" xr:uid="{00000000-0004-0000-0000-000032010000}"/>
    <hyperlink ref="O155" r:id="rId308" xr:uid="{00000000-0004-0000-0000-000033010000}"/>
    <hyperlink ref="N156" r:id="rId309" xr:uid="{00000000-0004-0000-0000-000034010000}"/>
    <hyperlink ref="O156" r:id="rId310" xr:uid="{00000000-0004-0000-0000-000035010000}"/>
    <hyperlink ref="N157" r:id="rId311" xr:uid="{00000000-0004-0000-0000-000036010000}"/>
    <hyperlink ref="O157" r:id="rId312" xr:uid="{00000000-0004-0000-0000-000037010000}"/>
    <hyperlink ref="N158" r:id="rId313" xr:uid="{00000000-0004-0000-0000-000038010000}"/>
    <hyperlink ref="O158" r:id="rId314" xr:uid="{00000000-0004-0000-0000-000039010000}"/>
    <hyperlink ref="N159" r:id="rId315" xr:uid="{00000000-0004-0000-0000-00003A010000}"/>
    <hyperlink ref="O159" r:id="rId316" xr:uid="{00000000-0004-0000-0000-00003B010000}"/>
    <hyperlink ref="N160" r:id="rId317" xr:uid="{00000000-0004-0000-0000-00003C010000}"/>
    <hyperlink ref="O160" r:id="rId318" xr:uid="{00000000-0004-0000-0000-00003D010000}"/>
    <hyperlink ref="N161" r:id="rId319" xr:uid="{00000000-0004-0000-0000-00003E010000}"/>
    <hyperlink ref="O161" r:id="rId320" xr:uid="{00000000-0004-0000-0000-00003F010000}"/>
    <hyperlink ref="N162" r:id="rId321" xr:uid="{00000000-0004-0000-0000-000040010000}"/>
    <hyperlink ref="O162" r:id="rId322" xr:uid="{00000000-0004-0000-0000-000041010000}"/>
    <hyperlink ref="N163" r:id="rId323" xr:uid="{00000000-0004-0000-0000-000042010000}"/>
    <hyperlink ref="O163" r:id="rId324" xr:uid="{00000000-0004-0000-0000-000043010000}"/>
    <hyperlink ref="N164" r:id="rId325" xr:uid="{00000000-0004-0000-0000-000044010000}"/>
    <hyperlink ref="O164" r:id="rId326" xr:uid="{00000000-0004-0000-0000-000045010000}"/>
    <hyperlink ref="N165" r:id="rId327" xr:uid="{00000000-0004-0000-0000-000046010000}"/>
    <hyperlink ref="O165" r:id="rId328" xr:uid="{00000000-0004-0000-0000-000047010000}"/>
    <hyperlink ref="N166" r:id="rId329" xr:uid="{00000000-0004-0000-0000-000048010000}"/>
    <hyperlink ref="O166" r:id="rId330" xr:uid="{00000000-0004-0000-0000-000049010000}"/>
    <hyperlink ref="N167" r:id="rId331" xr:uid="{00000000-0004-0000-0000-00004A010000}"/>
    <hyperlink ref="O167" r:id="rId332" xr:uid="{00000000-0004-0000-0000-00004B010000}"/>
    <hyperlink ref="N168" r:id="rId333" xr:uid="{00000000-0004-0000-0000-00004C010000}"/>
    <hyperlink ref="O168" r:id="rId334" xr:uid="{00000000-0004-0000-0000-00004D010000}"/>
    <hyperlink ref="N169" r:id="rId335" xr:uid="{00000000-0004-0000-0000-00004E010000}"/>
    <hyperlink ref="O169" r:id="rId336" xr:uid="{00000000-0004-0000-0000-00004F010000}"/>
    <hyperlink ref="N170" r:id="rId337" xr:uid="{00000000-0004-0000-0000-000050010000}"/>
    <hyperlink ref="O170" r:id="rId338" xr:uid="{00000000-0004-0000-0000-000051010000}"/>
    <hyperlink ref="N171" r:id="rId339" xr:uid="{00000000-0004-0000-0000-000052010000}"/>
    <hyperlink ref="O171" r:id="rId340" xr:uid="{00000000-0004-0000-0000-000053010000}"/>
    <hyperlink ref="N172" r:id="rId341" xr:uid="{00000000-0004-0000-0000-000054010000}"/>
    <hyperlink ref="O172" r:id="rId342" xr:uid="{00000000-0004-0000-0000-000055010000}"/>
    <hyperlink ref="N173" r:id="rId343" xr:uid="{00000000-0004-0000-0000-000056010000}"/>
    <hyperlink ref="O173" r:id="rId344" xr:uid="{00000000-0004-0000-0000-000057010000}"/>
    <hyperlink ref="N174" r:id="rId345" xr:uid="{00000000-0004-0000-0000-000058010000}"/>
    <hyperlink ref="O174" r:id="rId346" xr:uid="{00000000-0004-0000-0000-000059010000}"/>
    <hyperlink ref="N175" r:id="rId347" xr:uid="{00000000-0004-0000-0000-00005A010000}"/>
    <hyperlink ref="O175" r:id="rId348" xr:uid="{00000000-0004-0000-0000-00005B010000}"/>
    <hyperlink ref="N176" r:id="rId349" xr:uid="{00000000-0004-0000-0000-00005C010000}"/>
    <hyperlink ref="O176" r:id="rId350" xr:uid="{00000000-0004-0000-0000-00005D010000}"/>
    <hyperlink ref="N177" r:id="rId351" xr:uid="{00000000-0004-0000-0000-00005E010000}"/>
    <hyperlink ref="O177" r:id="rId352" xr:uid="{00000000-0004-0000-0000-00005F010000}"/>
    <hyperlink ref="N178" r:id="rId353" xr:uid="{00000000-0004-0000-0000-000060010000}"/>
    <hyperlink ref="O178" r:id="rId354" xr:uid="{00000000-0004-0000-0000-000061010000}"/>
    <hyperlink ref="N179" r:id="rId355" xr:uid="{00000000-0004-0000-0000-000062010000}"/>
    <hyperlink ref="O179" r:id="rId356" xr:uid="{00000000-0004-0000-0000-000063010000}"/>
    <hyperlink ref="N180" r:id="rId357" xr:uid="{00000000-0004-0000-0000-000064010000}"/>
    <hyperlink ref="O180" r:id="rId358" xr:uid="{00000000-0004-0000-0000-000065010000}"/>
    <hyperlink ref="N181" r:id="rId359" xr:uid="{00000000-0004-0000-0000-000066010000}"/>
    <hyperlink ref="O181" r:id="rId360" xr:uid="{00000000-0004-0000-0000-000067010000}"/>
    <hyperlink ref="N182" r:id="rId361" xr:uid="{00000000-0004-0000-0000-000068010000}"/>
    <hyperlink ref="O182" r:id="rId362" xr:uid="{00000000-0004-0000-0000-000069010000}"/>
    <hyperlink ref="N183" r:id="rId363" xr:uid="{00000000-0004-0000-0000-00006A010000}"/>
    <hyperlink ref="O183" r:id="rId364" xr:uid="{00000000-0004-0000-0000-00006B010000}"/>
    <hyperlink ref="N184" r:id="rId365" xr:uid="{00000000-0004-0000-0000-00006C010000}"/>
    <hyperlink ref="O184" r:id="rId366" xr:uid="{00000000-0004-0000-0000-00006D010000}"/>
    <hyperlink ref="N185" r:id="rId367" xr:uid="{00000000-0004-0000-0000-00006E010000}"/>
    <hyperlink ref="O185" r:id="rId368" xr:uid="{00000000-0004-0000-0000-00006F010000}"/>
    <hyperlink ref="N186" r:id="rId369" xr:uid="{00000000-0004-0000-0000-000070010000}"/>
    <hyperlink ref="O186" r:id="rId370" xr:uid="{00000000-0004-0000-0000-000071010000}"/>
    <hyperlink ref="N187" r:id="rId371" xr:uid="{00000000-0004-0000-0000-000072010000}"/>
    <hyperlink ref="O187" r:id="rId372" xr:uid="{00000000-0004-0000-0000-000073010000}"/>
    <hyperlink ref="N188" r:id="rId373" xr:uid="{00000000-0004-0000-0000-000074010000}"/>
    <hyperlink ref="O188" r:id="rId374" xr:uid="{00000000-0004-0000-0000-000075010000}"/>
    <hyperlink ref="N189" r:id="rId375" xr:uid="{00000000-0004-0000-0000-000076010000}"/>
    <hyperlink ref="O189" r:id="rId376" xr:uid="{00000000-0004-0000-0000-000077010000}"/>
    <hyperlink ref="N190" r:id="rId377" xr:uid="{00000000-0004-0000-0000-000078010000}"/>
    <hyperlink ref="O190" r:id="rId378" xr:uid="{00000000-0004-0000-0000-000079010000}"/>
    <hyperlink ref="N191" r:id="rId379" xr:uid="{00000000-0004-0000-0000-00007A010000}"/>
    <hyperlink ref="O191" r:id="rId380" xr:uid="{00000000-0004-0000-0000-00007B010000}"/>
    <hyperlink ref="N192" r:id="rId381" xr:uid="{00000000-0004-0000-0000-00007C010000}"/>
    <hyperlink ref="O192" r:id="rId382" xr:uid="{00000000-0004-0000-0000-00007D010000}"/>
    <hyperlink ref="N193" r:id="rId383" xr:uid="{00000000-0004-0000-0000-00007E010000}"/>
    <hyperlink ref="O193" r:id="rId384" xr:uid="{00000000-0004-0000-0000-00007F010000}"/>
    <hyperlink ref="N194" r:id="rId385" xr:uid="{00000000-0004-0000-0000-000080010000}"/>
    <hyperlink ref="O194" r:id="rId386" xr:uid="{00000000-0004-0000-0000-000081010000}"/>
    <hyperlink ref="N195" r:id="rId387" xr:uid="{00000000-0004-0000-0000-000082010000}"/>
    <hyperlink ref="O195" r:id="rId388" xr:uid="{00000000-0004-0000-0000-000083010000}"/>
    <hyperlink ref="N196" r:id="rId389" xr:uid="{00000000-0004-0000-0000-000084010000}"/>
    <hyperlink ref="O196" r:id="rId390" xr:uid="{00000000-0004-0000-0000-000085010000}"/>
    <hyperlink ref="N197" r:id="rId391" xr:uid="{00000000-0004-0000-0000-000086010000}"/>
    <hyperlink ref="O197" r:id="rId392" xr:uid="{00000000-0004-0000-0000-000087010000}"/>
    <hyperlink ref="N198" r:id="rId393" xr:uid="{00000000-0004-0000-0000-000088010000}"/>
    <hyperlink ref="O198" r:id="rId394" xr:uid="{00000000-0004-0000-0000-000089010000}"/>
    <hyperlink ref="N199" r:id="rId395" xr:uid="{00000000-0004-0000-0000-00008A010000}"/>
    <hyperlink ref="O199" r:id="rId396" xr:uid="{00000000-0004-0000-0000-00008B010000}"/>
    <hyperlink ref="N200" r:id="rId397" xr:uid="{00000000-0004-0000-0000-00008C010000}"/>
    <hyperlink ref="O200" r:id="rId398" xr:uid="{00000000-0004-0000-0000-00008D010000}"/>
    <hyperlink ref="N201" r:id="rId399" xr:uid="{00000000-0004-0000-0000-00008E010000}"/>
    <hyperlink ref="O201" r:id="rId400" xr:uid="{00000000-0004-0000-0000-00008F010000}"/>
    <hyperlink ref="N202" r:id="rId401" xr:uid="{00000000-0004-0000-0000-000090010000}"/>
    <hyperlink ref="O202" r:id="rId402" xr:uid="{00000000-0004-0000-0000-000091010000}"/>
    <hyperlink ref="N203" r:id="rId403" xr:uid="{00000000-0004-0000-0000-000092010000}"/>
    <hyperlink ref="O203" r:id="rId404" xr:uid="{00000000-0004-0000-0000-00009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target_spot2026-01-19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민수 김</cp:lastModifiedBy>
  <dcterms:modified xsi:type="dcterms:W3CDTF">2026-02-23T05:04:57Z</dcterms:modified>
</cp:coreProperties>
</file>